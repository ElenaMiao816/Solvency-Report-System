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KPMG\Solvency_Report_System\other_doc\"/>
    </mc:Choice>
  </mc:AlternateContent>
  <xr:revisionPtr revIDLastSave="0" documentId="13_ncr:1_{B0CF477D-4716-4A60-B36C-04BECD5BCF18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Summary" sheetId="3" r:id="rId1"/>
    <sheet name="config" sheetId="1" r:id="rId2"/>
  </sheets>
  <definedNames>
    <definedName name="_xlnm._FilterDatabase" localSheetId="1" hidden="1">config!$A$1:$N$93</definedName>
  </definedNames>
  <calcPr calcId="191029"/>
  <pivotCaches>
    <pivotCache cacheId="2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5" i="1" l="1"/>
  <c r="M93" i="1"/>
  <c r="K92" i="1"/>
  <c r="M91" i="1"/>
  <c r="J53" i="1"/>
  <c r="M52" i="1"/>
  <c r="J47" i="1"/>
  <c r="M51" i="1"/>
  <c r="J77" i="1"/>
  <c r="M50" i="1"/>
  <c r="K49" i="1"/>
  <c r="M60" i="1"/>
  <c r="K59" i="1"/>
  <c r="J46" i="1"/>
  <c r="K48" i="1"/>
  <c r="M45" i="1"/>
  <c r="M47" i="1" l="1"/>
  <c r="K47" i="1"/>
  <c r="G47" i="1" s="1"/>
  <c r="M49" i="1"/>
  <c r="M48" i="1"/>
  <c r="K46" i="1"/>
  <c r="G46" i="1" s="1"/>
  <c r="J50" i="1"/>
  <c r="J92" i="1"/>
  <c r="M92" i="1"/>
  <c r="K77" i="1"/>
  <c r="M59" i="1"/>
  <c r="J93" i="1"/>
  <c r="M77" i="1"/>
  <c r="J45" i="1"/>
  <c r="M53" i="1"/>
  <c r="K75" i="1"/>
  <c r="M46" i="1"/>
  <c r="J52" i="1"/>
  <c r="K52" i="1"/>
  <c r="K53" i="1"/>
  <c r="G53" i="1" s="1"/>
  <c r="K45" i="1"/>
  <c r="K51" i="1"/>
  <c r="J91" i="1"/>
  <c r="K91" i="1"/>
  <c r="J48" i="1"/>
  <c r="G48" i="1" s="1"/>
  <c r="J49" i="1"/>
  <c r="G49" i="1" s="1"/>
  <c r="K50" i="1"/>
  <c r="J59" i="1"/>
  <c r="G59" i="1" s="1"/>
  <c r="K93" i="1"/>
  <c r="J60" i="1"/>
  <c r="K60" i="1"/>
  <c r="J51" i="1"/>
  <c r="J75" i="1"/>
  <c r="G50" i="1" l="1"/>
  <c r="G45" i="1"/>
  <c r="G52" i="1"/>
  <c r="G60" i="1"/>
  <c r="G75" i="1"/>
  <c r="G51" i="1"/>
  <c r="G15" i="1"/>
  <c r="M90" i="1" l="1"/>
  <c r="K89" i="1"/>
  <c r="M88" i="1"/>
  <c r="M87" i="1"/>
  <c r="M86" i="1"/>
  <c r="M85" i="1"/>
  <c r="M84" i="1"/>
  <c r="K83" i="1"/>
  <c r="M82" i="1"/>
  <c r="M81" i="1"/>
  <c r="M69" i="1"/>
  <c r="K66" i="1"/>
  <c r="M55" i="1"/>
  <c r="M61" i="1"/>
  <c r="M44" i="1"/>
  <c r="K43" i="1"/>
  <c r="M42" i="1"/>
  <c r="M41" i="1"/>
  <c r="K40" i="1"/>
  <c r="K39" i="1"/>
  <c r="M38" i="1"/>
  <c r="M74" i="1"/>
  <c r="M37" i="1"/>
  <c r="K36" i="1"/>
  <c r="M72" i="1"/>
  <c r="M35" i="1"/>
  <c r="K34" i="1"/>
  <c r="M80" i="1"/>
  <c r="M33" i="1"/>
  <c r="M32" i="1"/>
  <c r="K31" i="1"/>
  <c r="M30" i="1"/>
  <c r="M29" i="1"/>
  <c r="K79" i="1"/>
  <c r="M28" i="1"/>
  <c r="M27" i="1"/>
  <c r="M62" i="1"/>
  <c r="M26" i="1"/>
  <c r="K58" i="1"/>
  <c r="M68" i="1"/>
  <c r="M67" i="1"/>
  <c r="M25" i="1"/>
  <c r="K54" i="1"/>
  <c r="M24" i="1"/>
  <c r="M23" i="1"/>
  <c r="M22" i="1"/>
  <c r="M57" i="1"/>
  <c r="K21" i="1"/>
  <c r="M20" i="1"/>
  <c r="M19" i="1"/>
  <c r="K71" i="1"/>
  <c r="M63" i="1"/>
  <c r="M18" i="1"/>
  <c r="M78" i="1"/>
  <c r="K17" i="1"/>
  <c r="M16" i="1"/>
  <c r="M15" i="1"/>
  <c r="M14" i="1"/>
  <c r="K64" i="1"/>
  <c r="M13" i="1"/>
  <c r="K12" i="1"/>
  <c r="M11" i="1"/>
  <c r="M70" i="1"/>
  <c r="M10" i="1"/>
  <c r="K9" i="1"/>
  <c r="M56" i="1"/>
  <c r="M73" i="1"/>
  <c r="M8" i="1"/>
  <c r="K7" i="1"/>
  <c r="M65" i="1"/>
  <c r="K76" i="1"/>
  <c r="M6" i="1"/>
  <c r="K5" i="1"/>
  <c r="M4" i="1"/>
  <c r="K2" i="1"/>
  <c r="J2" i="1"/>
  <c r="G2" i="1" l="1"/>
  <c r="M40" i="1"/>
  <c r="M79" i="1"/>
  <c r="K84" i="1"/>
  <c r="M7" i="1"/>
  <c r="M71" i="1"/>
  <c r="M58" i="1"/>
  <c r="M64" i="1"/>
  <c r="K81" i="1"/>
  <c r="M9" i="1"/>
  <c r="M54" i="1"/>
  <c r="M21" i="1"/>
  <c r="J25" i="1"/>
  <c r="M17" i="1"/>
  <c r="K25" i="1"/>
  <c r="K62" i="1"/>
  <c r="M43" i="1"/>
  <c r="J81" i="1"/>
  <c r="M36" i="1"/>
  <c r="M31" i="1"/>
  <c r="M5" i="1"/>
  <c r="M76" i="1"/>
  <c r="M66" i="1"/>
  <c r="M89" i="1"/>
  <c r="M39" i="1"/>
  <c r="M83" i="1"/>
  <c r="M12" i="1"/>
  <c r="M34" i="1"/>
  <c r="J33" i="1"/>
  <c r="J10" i="1"/>
  <c r="J29" i="1"/>
  <c r="K33" i="1"/>
  <c r="J90" i="1"/>
  <c r="K10" i="1"/>
  <c r="J19" i="1"/>
  <c r="K29" i="1"/>
  <c r="J41" i="1"/>
  <c r="K90" i="1"/>
  <c r="J78" i="1"/>
  <c r="K19" i="1"/>
  <c r="J37" i="1"/>
  <c r="K41" i="1"/>
  <c r="K78" i="1"/>
  <c r="J67" i="1"/>
  <c r="K37" i="1"/>
  <c r="J82" i="1"/>
  <c r="J23" i="1"/>
  <c r="K67" i="1"/>
  <c r="K82" i="1"/>
  <c r="J8" i="1"/>
  <c r="J70" i="1"/>
  <c r="K23" i="1"/>
  <c r="J30" i="1"/>
  <c r="K8" i="1"/>
  <c r="K70" i="1"/>
  <c r="J27" i="1"/>
  <c r="K30" i="1"/>
  <c r="J86" i="1"/>
  <c r="J18" i="1"/>
  <c r="K27" i="1"/>
  <c r="J74" i="1"/>
  <c r="K86" i="1"/>
  <c r="J14" i="1"/>
  <c r="K18" i="1"/>
  <c r="J35" i="1"/>
  <c r="K74" i="1"/>
  <c r="K14" i="1"/>
  <c r="J24" i="1"/>
  <c r="K35" i="1"/>
  <c r="J69" i="1"/>
  <c r="J6" i="1"/>
  <c r="J73" i="1"/>
  <c r="J57" i="1"/>
  <c r="K24" i="1"/>
  <c r="J44" i="1"/>
  <c r="K69" i="1"/>
  <c r="K6" i="1"/>
  <c r="K73" i="1"/>
  <c r="K57" i="1"/>
  <c r="J28" i="1"/>
  <c r="K44" i="1"/>
  <c r="J87" i="1"/>
  <c r="J26" i="1"/>
  <c r="K28" i="1"/>
  <c r="K87" i="1"/>
  <c r="J15" i="1"/>
  <c r="K26" i="1"/>
  <c r="J13" i="1"/>
  <c r="K15" i="1"/>
  <c r="J32" i="1"/>
  <c r="J76" i="1"/>
  <c r="K13" i="1"/>
  <c r="K32" i="1"/>
  <c r="J61" i="1"/>
  <c r="J40" i="1"/>
  <c r="G40" i="1" s="1"/>
  <c r="K61" i="1"/>
  <c r="J62" i="1"/>
  <c r="G62" i="1" s="1"/>
  <c r="J84" i="1"/>
  <c r="J65" i="1"/>
  <c r="J11" i="1"/>
  <c r="J16" i="1"/>
  <c r="J20" i="1"/>
  <c r="J22" i="1"/>
  <c r="J68" i="1"/>
  <c r="J80" i="1"/>
  <c r="J38" i="1"/>
  <c r="J42" i="1"/>
  <c r="J55" i="1"/>
  <c r="G55" i="1" s="1"/>
  <c r="J88" i="1"/>
  <c r="K4" i="1"/>
  <c r="K65" i="1"/>
  <c r="K56" i="1"/>
  <c r="K11" i="1"/>
  <c r="K63" i="1"/>
  <c r="K20" i="1"/>
  <c r="K22" i="1"/>
  <c r="K68" i="1"/>
  <c r="K80" i="1"/>
  <c r="K72" i="1"/>
  <c r="K38" i="1"/>
  <c r="K42" i="1"/>
  <c r="K55" i="1"/>
  <c r="K88" i="1"/>
  <c r="J4" i="1"/>
  <c r="J56" i="1"/>
  <c r="J63" i="1"/>
  <c r="J72" i="1"/>
  <c r="J85" i="1"/>
  <c r="K16" i="1"/>
  <c r="K85" i="1"/>
  <c r="J5" i="1"/>
  <c r="G5" i="1" s="1"/>
  <c r="J7" i="1"/>
  <c r="G7" i="1" s="1"/>
  <c r="J9" i="1"/>
  <c r="J12" i="1"/>
  <c r="G12" i="1" s="1"/>
  <c r="J64" i="1"/>
  <c r="G64" i="1" s="1"/>
  <c r="J17" i="1"/>
  <c r="G17" i="1" s="1"/>
  <c r="J71" i="1"/>
  <c r="G71" i="1" s="1"/>
  <c r="J21" i="1"/>
  <c r="G21" i="1" s="1"/>
  <c r="J54" i="1"/>
  <c r="G54" i="1" s="1"/>
  <c r="J58" i="1"/>
  <c r="G58" i="1" s="1"/>
  <c r="J79" i="1"/>
  <c r="J31" i="1"/>
  <c r="G31" i="1" s="1"/>
  <c r="J34" i="1"/>
  <c r="G34" i="1" s="1"/>
  <c r="J36" i="1"/>
  <c r="G36" i="1" s="1"/>
  <c r="J39" i="1"/>
  <c r="G39" i="1" s="1"/>
  <c r="J43" i="1"/>
  <c r="G43" i="1" s="1"/>
  <c r="J66" i="1"/>
  <c r="G66" i="1" s="1"/>
  <c r="J83" i="1"/>
  <c r="J89" i="1"/>
  <c r="M2" i="1"/>
  <c r="L2" i="1"/>
  <c r="G65" i="1" l="1"/>
  <c r="G69" i="1"/>
  <c r="G61" i="1"/>
  <c r="G57" i="1"/>
  <c r="G56" i="1"/>
  <c r="G8" i="1"/>
  <c r="L75" i="1"/>
  <c r="L77" i="1"/>
  <c r="L91" i="1"/>
  <c r="L59" i="1"/>
  <c r="L48" i="1"/>
  <c r="L47" i="1"/>
  <c r="L51" i="1"/>
  <c r="L93" i="1"/>
  <c r="L50" i="1"/>
  <c r="L53" i="1"/>
  <c r="L46" i="1"/>
  <c r="L52" i="1"/>
  <c r="L45" i="1"/>
  <c r="L92" i="1"/>
  <c r="L49" i="1"/>
  <c r="L60" i="1"/>
  <c r="G68" i="1"/>
  <c r="G4" i="1"/>
  <c r="G11" i="1"/>
  <c r="G18" i="1"/>
  <c r="G37" i="1"/>
  <c r="G27" i="1"/>
  <c r="G44" i="1"/>
  <c r="G41" i="1"/>
  <c r="G25" i="1"/>
  <c r="G10" i="1"/>
  <c r="G33" i="1"/>
  <c r="G35" i="1"/>
  <c r="L69" i="1"/>
  <c r="L79" i="1"/>
  <c r="L7" i="1"/>
  <c r="L40" i="1"/>
  <c r="L68" i="1"/>
  <c r="L63" i="1"/>
  <c r="L90" i="1"/>
  <c r="L34" i="1"/>
  <c r="L22" i="1"/>
  <c r="L12" i="1"/>
  <c r="L65" i="1"/>
  <c r="L67" i="1"/>
  <c r="L18" i="1"/>
  <c r="L83" i="1"/>
  <c r="L39" i="1"/>
  <c r="L80" i="1"/>
  <c r="L28" i="1"/>
  <c r="L11" i="1"/>
  <c r="L89" i="1"/>
  <c r="L66" i="1"/>
  <c r="L78" i="1"/>
  <c r="L76" i="1"/>
  <c r="L38" i="1"/>
  <c r="L33" i="1"/>
  <c r="L27" i="1"/>
  <c r="L25" i="1"/>
  <c r="L57" i="1"/>
  <c r="L70" i="1"/>
  <c r="L37" i="1"/>
  <c r="L16" i="1"/>
  <c r="L5" i="1"/>
  <c r="L81" i="1"/>
  <c r="L9" i="1"/>
  <c r="L4" i="1"/>
  <c r="L43" i="1"/>
  <c r="L14" i="1"/>
  <c r="L72" i="1"/>
  <c r="L30" i="1"/>
  <c r="L24" i="1"/>
  <c r="L29" i="1"/>
  <c r="L64" i="1"/>
  <c r="L84" i="1"/>
  <c r="L58" i="1"/>
  <c r="L71" i="1"/>
  <c r="L13" i="1"/>
  <c r="L88" i="1"/>
  <c r="L55" i="1"/>
  <c r="L6" i="1"/>
  <c r="L82" i="1"/>
  <c r="L74" i="1"/>
  <c r="L32" i="1"/>
  <c r="L17" i="1"/>
  <c r="L10" i="1"/>
  <c r="L87" i="1"/>
  <c r="L61" i="1"/>
  <c r="L21" i="1"/>
  <c r="L86" i="1"/>
  <c r="L44" i="1"/>
  <c r="L31" i="1"/>
  <c r="L54" i="1"/>
  <c r="L20" i="1"/>
  <c r="L15" i="1"/>
  <c r="L36" i="1"/>
  <c r="L62" i="1"/>
  <c r="L19" i="1"/>
  <c r="L56" i="1"/>
  <c r="L73" i="1"/>
  <c r="L85" i="1"/>
  <c r="L42" i="1"/>
  <c r="L26" i="1"/>
  <c r="L23" i="1"/>
  <c r="L8" i="1"/>
  <c r="L41" i="1"/>
  <c r="L35" i="1"/>
  <c r="G32" i="1"/>
  <c r="G19" i="1"/>
  <c r="G73" i="1"/>
  <c r="G30" i="1"/>
  <c r="G13" i="1"/>
  <c r="G6" i="1"/>
  <c r="G22" i="1"/>
  <c r="G70" i="1"/>
  <c r="G20" i="1"/>
  <c r="G29" i="1"/>
  <c r="G42" i="1"/>
  <c r="M3" i="1"/>
  <c r="K3" i="1"/>
  <c r="J3" i="1"/>
  <c r="G38" i="1"/>
  <c r="G16" i="1"/>
  <c r="G72" i="1"/>
  <c r="G24" i="1"/>
  <c r="G23" i="1"/>
  <c r="G63" i="1"/>
  <c r="G26" i="1"/>
  <c r="G14" i="1"/>
  <c r="G67" i="1"/>
  <c r="G74" i="1"/>
  <c r="G28" i="1"/>
  <c r="L3" i="1"/>
  <c r="G3" i="1" l="1"/>
</calcChain>
</file>

<file path=xl/sharedStrings.xml><?xml version="1.0" encoding="utf-8"?>
<sst xmlns="http://schemas.openxmlformats.org/spreadsheetml/2006/main" count="608" uniqueCount="256">
  <si>
    <t>公司</t>
  </si>
  <si>
    <t>网址</t>
  </si>
  <si>
    <t>text_to_find</t>
  </si>
  <si>
    <t>保存地址</t>
  </si>
  <si>
    <t>保存文件名</t>
  </si>
  <si>
    <t>https://www.newchinalife.com/info/53474</t>
  </si>
  <si>
    <t>https://life.cpic.com.cn/xrsbx/gkxxpl/cfnlxxzq/?subMenu=4&amp;inSub=3</t>
  </si>
  <si>
    <t>招商信诺</t>
  </si>
  <si>
    <t>https://www.cignacmb.com/xinxi/jibenxinxi/changfunengli.html</t>
  </si>
  <si>
    <t>季度</t>
    <phoneticPr fontId="2" type="noConversion"/>
  </si>
  <si>
    <t>https://life.cntaiping.com/info-cfnlzy/</t>
    <phoneticPr fontId="2" type="noConversion"/>
  </si>
  <si>
    <t>control</t>
    <phoneticPr fontId="2" type="noConversion"/>
  </si>
  <si>
    <t>平安寿险</t>
    <phoneticPr fontId="2" type="noConversion"/>
  </si>
  <si>
    <t>新华保险</t>
    <phoneticPr fontId="2" type="noConversion"/>
  </si>
  <si>
    <t>太保寿险</t>
    <phoneticPr fontId="2" type="noConversion"/>
  </si>
  <si>
    <t>太平人寿</t>
    <phoneticPr fontId="2" type="noConversion"/>
  </si>
  <si>
    <t>泰康人寿</t>
    <phoneticPr fontId="2" type="noConversion"/>
  </si>
  <si>
    <t>人保寿险</t>
  </si>
  <si>
    <t>中邮人寿</t>
  </si>
  <si>
    <t>工银安盛</t>
  </si>
  <si>
    <t>国华人寿</t>
  </si>
  <si>
    <t>信泰人寿</t>
  </si>
  <si>
    <t>建信人寿</t>
  </si>
  <si>
    <t>民生人寿</t>
  </si>
  <si>
    <t>中宏人寿</t>
  </si>
  <si>
    <t>中英人寿</t>
  </si>
  <si>
    <t>中美联泰</t>
  </si>
  <si>
    <t>中意人寿</t>
  </si>
  <si>
    <t>幸福人寿</t>
  </si>
  <si>
    <t>同方全球</t>
  </si>
  <si>
    <t>中荷人寿</t>
  </si>
  <si>
    <t>华贵人寿</t>
  </si>
  <si>
    <t>华夏人寿</t>
  </si>
  <si>
    <t>和谐健康</t>
  </si>
  <si>
    <t>恒大人寿</t>
  </si>
  <si>
    <t>君康人寿</t>
  </si>
  <si>
    <t>昆仑健康</t>
  </si>
  <si>
    <t>前海人寿</t>
  </si>
  <si>
    <t>上海人寿</t>
  </si>
  <si>
    <t>天安人寿</t>
  </si>
  <si>
    <t>中融人寿</t>
  </si>
  <si>
    <t>珠江人寿</t>
  </si>
  <si>
    <t>https://www.taikanglife.com/publicinfonew/specialinfo/payinfonew/list_418_1.html</t>
    <phoneticPr fontId="2" type="noConversion"/>
  </si>
  <si>
    <t>https://www.aia.com.cn/zh-cn/gongkaixinxipilou/zhuanxiangxinxi/changfunengli</t>
    <phoneticPr fontId="2" type="noConversion"/>
  </si>
  <si>
    <t>https://www.chinapost-life.com/publish/publish4/publish4_4/</t>
    <phoneticPr fontId="2" type="noConversion"/>
  </si>
  <si>
    <t>https://www.icbc-axa.com/public/special_infor_temp/special_infor_3/publicList.jsp</t>
    <phoneticPr fontId="2" type="noConversion"/>
  </si>
  <si>
    <t>https://www.citic-prudential.com.cn/Special/Solvency.aspx</t>
    <phoneticPr fontId="2" type="noConversion"/>
  </si>
  <si>
    <t>https://www.95549.cn/pages/intro/xxpl05.shtml</t>
    <phoneticPr fontId="2" type="noConversion"/>
  </si>
  <si>
    <t>https://xintai.com/web/info/specialInfo/solvencyReport/periodicDisclosure/index.jsp</t>
    <phoneticPr fontId="2" type="noConversion"/>
  </si>
  <si>
    <t>https://www.ccb-life.com.cn/html/6182/3185/index.html</t>
    <phoneticPr fontId="2" type="noConversion"/>
  </si>
  <si>
    <t>https://www.minshenglife.com/articleListOfChannel/357</t>
    <phoneticPr fontId="2" type="noConversion"/>
  </si>
  <si>
    <t>https://www.manulife-sinochem.com/public-information/special/solvency</t>
    <phoneticPr fontId="2" type="noConversion"/>
  </si>
  <si>
    <t>http://www.aviva-cofco.com.cn/website/xxzx/gkxxpl/zxxx/cfnljdbgzy/cfnl1/list-1.shtml</t>
    <phoneticPr fontId="2" type="noConversion"/>
  </si>
  <si>
    <t>合众人寿</t>
    <phoneticPr fontId="2" type="noConversion"/>
  </si>
  <si>
    <t>https://www.unionlife.com.cn/union/gkxxpl/zxxx/index.html</t>
    <phoneticPr fontId="2" type="noConversion"/>
  </si>
  <si>
    <t>https://www.generalichina.com/cfnlnew/</t>
    <phoneticPr fontId="2" type="noConversion"/>
  </si>
  <si>
    <t>https://www.bocommlife.com/101866/index.html</t>
    <phoneticPr fontId="2" type="noConversion"/>
  </si>
  <si>
    <t>https://www.happyinsurance.com.cn/info/list_30_36_1.html#infoAnchor</t>
    <phoneticPr fontId="2" type="noConversion"/>
  </si>
  <si>
    <t>https://www.sunlife-everbright.com/sleb/info/zxxx/cfnlxxplzl/index.html</t>
    <phoneticPr fontId="2" type="noConversion"/>
  </si>
  <si>
    <t>https://www.guominpension.com/informationDisclosure?id=1422449144224628737</t>
    <phoneticPr fontId="2" type="noConversion"/>
  </si>
  <si>
    <t>http://www.ydthlife.sgcc.com.cn/gkxxpl/zxxx/cfnlxx/index.shtml</t>
    <phoneticPr fontId="2" type="noConversion"/>
  </si>
  <si>
    <t>https://www.aegonthtf.com/gkxxpl/zxxx/cfnl/</t>
    <phoneticPr fontId="2" type="noConversion"/>
  </si>
  <si>
    <t>http://www.bob-cardif.com/xinxipilu/zhuanxiangxinxi/changfunenglixinxi/index.html</t>
    <phoneticPr fontId="2" type="noConversion"/>
  </si>
  <si>
    <t>https://www.clpc.com.cn/chinalifepension/gkxxpl/zxxx/cfnl/index.html</t>
    <phoneticPr fontId="2" type="noConversion"/>
  </si>
  <si>
    <t>https://www.hongkang-life.com/hongkang/InfoDisclosure.html</t>
    <phoneticPr fontId="2" type="noConversion"/>
  </si>
  <si>
    <t>https://www.cathaylife.cn/jdzybg/index.html</t>
    <phoneticPr fontId="2" type="noConversion"/>
  </si>
  <si>
    <t>http://www.hengansl.com/hengan/gkxxpl/zxxx/cfnl/jdbgzy/index.html</t>
    <phoneticPr fontId="2" type="noConversion"/>
  </si>
  <si>
    <t>https://www.newchinapension.com/xhylbx/_300468/_300684/index.html</t>
    <phoneticPr fontId="2" type="noConversion"/>
  </si>
  <si>
    <t>https://tppension.cntaiping.com/info-ylcfnlbg/</t>
    <phoneticPr fontId="2" type="noConversion"/>
  </si>
  <si>
    <t>https://www.beijinglife.com.cn/publicInfo/solvency/</t>
    <phoneticPr fontId="2" type="noConversion"/>
  </si>
  <si>
    <t>https://www.picc-pension.com.cn/html1/category/23042/30-1.htm</t>
    <phoneticPr fontId="2" type="noConversion"/>
  </si>
  <si>
    <t>百年人寿</t>
    <phoneticPr fontId="2" type="noConversion"/>
  </si>
  <si>
    <t>国联人寿</t>
    <phoneticPr fontId="2" type="noConversion"/>
  </si>
  <si>
    <t>https://www.guolian-life.com/companyNewsCenter.html?menuCode=107&amp;grade=3</t>
    <phoneticPr fontId="2" type="noConversion"/>
  </si>
  <si>
    <t>https://life.cic.cn/redirect/info/repayMessage</t>
    <phoneticPr fontId="2" type="noConversion"/>
  </si>
  <si>
    <t>http://www.bohailife.net/zxxx/changfunengli/index.shtml</t>
    <phoneticPr fontId="2" type="noConversion"/>
  </si>
  <si>
    <t>https://www.hsbcinsurance.com.cn/about-us/information-disclosure/special-information/#03</t>
    <phoneticPr fontId="2" type="noConversion"/>
  </si>
  <si>
    <t>https://www.aixin-ins.com/gdgq/index.jhtml#</t>
    <phoneticPr fontId="2" type="noConversion"/>
  </si>
  <si>
    <t>https://annuity.djbx.com/col/col469/index.html</t>
    <phoneticPr fontId="2" type="noConversion"/>
  </si>
  <si>
    <t>http://www.kdlins.com.cn/info!list.action?itype=5</t>
    <phoneticPr fontId="2" type="noConversion"/>
  </si>
  <si>
    <t>https://www.pkufi.com/public-infomation/specialMsg/payCapacity?content=%E5%81%BF%E4%BB%98%E8%83%BD%E5%8A%9B</t>
    <phoneticPr fontId="2" type="noConversion"/>
  </si>
  <si>
    <t>https://www.oldmutual-chnenergy.com/InfoPublish/tempReport/Solvency/</t>
    <phoneticPr fontId="2" type="noConversion"/>
  </si>
  <si>
    <t>https://www.panda-assets.com/PublicInfo/Index?TypeId=57</t>
    <phoneticPr fontId="2" type="noConversion"/>
  </si>
  <si>
    <t>https://www.huaguilife.cn/index/hgpcgw/generate/web/gkxxpl/zxxx/changfunengli/index.html?typeid=1610577898428649474&amp;thirdId=1624043819551543297#scrollTo</t>
    <phoneticPr fontId="2" type="noConversion"/>
  </si>
  <si>
    <t>长生人寿</t>
    <phoneticPr fontId="2" type="noConversion"/>
  </si>
  <si>
    <t>https://www.gwcslife.com/main/index/gkxxplzl/lsxx/cfnljdbgzy/index.html</t>
    <phoneticPr fontId="2" type="noConversion"/>
  </si>
  <si>
    <t>https://www.dingchenglife.com.cn/zxxx/cfnl/</t>
    <phoneticPr fontId="2" type="noConversion"/>
  </si>
  <si>
    <t>https://www.rhassurance.com/rhOffic/information/special/3</t>
    <phoneticPr fontId="2" type="noConversion"/>
  </si>
  <si>
    <t>三峡人寿</t>
    <phoneticPr fontId="2" type="noConversion"/>
  </si>
  <si>
    <t>https://www.tg-life.com.cn/changfunengli/89.html</t>
    <phoneticPr fontId="2" type="noConversion"/>
  </si>
  <si>
    <t>https://life.djbx.com/col/col180/index.html</t>
    <phoneticPr fontId="2" type="noConversion"/>
  </si>
  <si>
    <t>https://www.sino-life.com/publicinfo/</t>
    <phoneticPr fontId="2" type="noConversion"/>
  </si>
  <si>
    <t>https://www.ruiinsurance.com/information/special/solvency/index.html?v=1,732,786,471,236</t>
    <phoneticPr fontId="2" type="noConversion"/>
  </si>
  <si>
    <t>备注</t>
    <phoneticPr fontId="2" type="noConversion"/>
  </si>
  <si>
    <t>https://www.kunlunhealth.com.cn/cms/disclosure/list?sItem=otherInfo1&amp;&amp;type=PCSolvencyDisclosure</t>
    <phoneticPr fontId="2" type="noConversion"/>
  </si>
  <si>
    <t>https://www.shanghailife.com.cn/infoManagement/13?mold=3&amp;status=3</t>
    <phoneticPr fontId="2" type="noConversion"/>
  </si>
  <si>
    <t>https://www.tianan-life.com/toGongKaiXinXiPiLu</t>
    <phoneticPr fontId="2" type="noConversion"/>
  </si>
  <si>
    <t>http://www.zhongronglife.com/html/1//178/172/index.html</t>
    <phoneticPr fontId="2" type="noConversion"/>
  </si>
  <si>
    <t>https://www.prlife.com.cn/page/message/message_main.shtml</t>
    <phoneticPr fontId="2" type="noConversion"/>
  </si>
  <si>
    <t>长江养老</t>
    <phoneticPr fontId="2" type="noConversion"/>
  </si>
  <si>
    <t>未披露偿付能力</t>
    <phoneticPr fontId="2" type="noConversion"/>
  </si>
  <si>
    <t>Y</t>
    <phoneticPr fontId="2" type="noConversion"/>
  </si>
  <si>
    <t>Q</t>
    <phoneticPr fontId="2" type="noConversion"/>
  </si>
  <si>
    <t>2024年3季度</t>
    <phoneticPr fontId="2" type="noConversion"/>
  </si>
  <si>
    <t>https://www.metlife.com.cn/information-disclosure/public-information-disclosure/special-information/solvency-information</t>
    <phoneticPr fontId="2" type="noConversion"/>
  </si>
  <si>
    <t>2024年2季度</t>
    <phoneticPr fontId="2" type="noConversion"/>
  </si>
  <si>
    <t>https://www.greatlife.cn/page/xxpl/cfnl/cfnl.shtml</t>
    <phoneticPr fontId="2" type="noConversion"/>
  </si>
  <si>
    <t>长城人寿</t>
    <phoneticPr fontId="2" type="noConversion"/>
  </si>
  <si>
    <t>光大永明</t>
    <phoneticPr fontId="2" type="noConversion"/>
  </si>
  <si>
    <t>中银三星</t>
    <phoneticPr fontId="2" type="noConversion"/>
  </si>
  <si>
    <t>英大人寿</t>
    <phoneticPr fontId="2" type="noConversion"/>
  </si>
  <si>
    <t>弘康人寿</t>
    <phoneticPr fontId="2" type="noConversion"/>
  </si>
  <si>
    <t>财信人寿</t>
    <phoneticPr fontId="2" type="noConversion"/>
  </si>
  <si>
    <t>https://life.hnchasing.com/web/info/iteminfo/cfnl/dqpl/index.jsp</t>
    <phoneticPr fontId="2" type="noConversion"/>
  </si>
  <si>
    <t>华泰人寿</t>
    <phoneticPr fontId="2" type="noConversion"/>
  </si>
  <si>
    <t>http://life.ehuatai.com/solvency.html</t>
    <phoneticPr fontId="2" type="noConversion"/>
  </si>
  <si>
    <t>安联人寿</t>
    <phoneticPr fontId="2" type="noConversion"/>
  </si>
  <si>
    <t>https://www.allianz.com.cn/solvencyCapacity/AZ01005</t>
    <phoneticPr fontId="2" type="noConversion"/>
  </si>
  <si>
    <t>北京人寿</t>
    <phoneticPr fontId="2" type="noConversion"/>
  </si>
  <si>
    <t>https://www.aeonlife.com.cn/info/solvency/index.shtml#info_list</t>
    <phoneticPr fontId="2" type="noConversion"/>
  </si>
  <si>
    <t>复星联合</t>
    <phoneticPr fontId="2" type="noConversion"/>
  </si>
  <si>
    <t>https://www.fosun-uhi.com/PublicInformation/SolvencyInformation/</t>
    <phoneticPr fontId="2" type="noConversion"/>
  </si>
  <si>
    <t>信美人寿</t>
    <phoneticPr fontId="2" type="noConversion"/>
  </si>
  <si>
    <t>https://www.trustlife.com/cms/html/payReport/</t>
    <phoneticPr fontId="2" type="noConversion"/>
  </si>
  <si>
    <t>中华人寿</t>
    <phoneticPr fontId="2" type="noConversion"/>
  </si>
  <si>
    <t>复星保德信</t>
    <phoneticPr fontId="2" type="noConversion"/>
  </si>
  <si>
    <t>https://www.pflife.com.cn/cpramericaFosun/publish/main/announce/specialInformation/payinfo/index.html</t>
    <phoneticPr fontId="2" type="noConversion"/>
  </si>
  <si>
    <t>渤海人寿</t>
    <phoneticPr fontId="2" type="noConversion"/>
  </si>
  <si>
    <t>2023年第4季度</t>
    <phoneticPr fontId="2" type="noConversion"/>
  </si>
  <si>
    <t>汇丰人寿</t>
    <phoneticPr fontId="2" type="noConversion"/>
  </si>
  <si>
    <t>爱心人寿</t>
    <phoneticPr fontId="2" type="noConversion"/>
  </si>
  <si>
    <t>君龙人寿</t>
    <phoneticPr fontId="2" type="noConversion"/>
  </si>
  <si>
    <t>小康人寿</t>
    <phoneticPr fontId="2" type="noConversion"/>
  </si>
  <si>
    <t>http://www.sfli.com.cn/cms-web/front/sinofrench/plxx/zxxx/cfnl/cfnl@1.html</t>
    <phoneticPr fontId="2" type="noConversion"/>
  </si>
  <si>
    <t>北大方正</t>
    <phoneticPr fontId="2" type="noConversion"/>
  </si>
  <si>
    <t>https://www.sinokorealife.com.cn/cfnl</t>
    <phoneticPr fontId="2" type="noConversion"/>
  </si>
  <si>
    <t>瑞泰人寿</t>
    <phoneticPr fontId="2" type="noConversion"/>
  </si>
  <si>
    <t>国宝人寿</t>
    <phoneticPr fontId="2" type="noConversion"/>
  </si>
  <si>
    <t>和泰人寿</t>
    <phoneticPr fontId="2" type="noConversion"/>
  </si>
  <si>
    <t>https://www.htlic.com/info/special/liquidate</t>
    <phoneticPr fontId="2" type="noConversion"/>
  </si>
  <si>
    <t>国富人寿</t>
    <phoneticPr fontId="2" type="noConversion"/>
  </si>
  <si>
    <t>https://www.e-guofu.com/zfnl/index.html</t>
    <phoneticPr fontId="2" type="noConversion"/>
  </si>
  <si>
    <t>鼎诚人寿</t>
    <phoneticPr fontId="2" type="noConversion"/>
  </si>
  <si>
    <t>大家人寿</t>
    <phoneticPr fontId="2" type="noConversion"/>
  </si>
  <si>
    <t>富德生命</t>
    <phoneticPr fontId="2" type="noConversion"/>
  </si>
  <si>
    <t>https://life.pingan.com/gongkaixinxipilu/changfunenglibaogao.jsp</t>
    <phoneticPr fontId="2" type="noConversion"/>
  </si>
  <si>
    <t>只更新到2023Q1</t>
    <phoneticPr fontId="2" type="noConversion"/>
  </si>
  <si>
    <t>只更新到2023Q4</t>
    <phoneticPr fontId="2" type="noConversion"/>
  </si>
  <si>
    <t>只更新到2021Q4</t>
    <phoneticPr fontId="2" type="noConversion"/>
  </si>
  <si>
    <t>https://www.evergrandelife.com.cn/channel/10959.html</t>
    <phoneticPr fontId="2" type="noConversion"/>
  </si>
  <si>
    <t>只更新到2021Q3</t>
    <phoneticPr fontId="2" type="noConversion"/>
  </si>
  <si>
    <t>https://www.jklife.com/views/special/specialSolvency.html</t>
    <phoneticPr fontId="2" type="noConversion"/>
  </si>
  <si>
    <t>只更新到2020Q3</t>
    <phoneticPr fontId="2" type="noConversion"/>
  </si>
  <si>
    <t>https://www.foresealife.com/publicInfo.html</t>
    <phoneticPr fontId="2" type="noConversion"/>
  </si>
  <si>
    <t>只更新到2020Q1</t>
    <phoneticPr fontId="2" type="noConversion"/>
  </si>
  <si>
    <t>中国人寿</t>
    <phoneticPr fontId="2" type="noConversion"/>
  </si>
  <si>
    <t>https://www.e-chinalife.com/tzzgx/tzzgx/dqbg/cfnljbzy/</t>
    <phoneticPr fontId="2" type="noConversion"/>
  </si>
  <si>
    <t>只更新到2021Q4</t>
    <phoneticPr fontId="2" type="noConversion"/>
  </si>
  <si>
    <t>只更新到2021Q3</t>
    <phoneticPr fontId="2" type="noConversion"/>
  </si>
  <si>
    <t>只更新到2022</t>
    <phoneticPr fontId="2" type="noConversion"/>
  </si>
  <si>
    <t>只更新到2024Q2</t>
    <phoneticPr fontId="2" type="noConversion"/>
  </si>
  <si>
    <t>改名瑞众，未披露</t>
    <phoneticPr fontId="2" type="noConversion"/>
  </si>
  <si>
    <t>进度</t>
    <phoneticPr fontId="2" type="noConversion"/>
  </si>
  <si>
    <t>成功</t>
    <phoneticPr fontId="2" type="noConversion"/>
  </si>
  <si>
    <t>自动下载失败，需手动下载</t>
    <phoneticPr fontId="2" type="noConversion"/>
  </si>
  <si>
    <t>无法自动获取下载链接，需手动下载</t>
    <phoneticPr fontId="2" type="noConversion"/>
  </si>
  <si>
    <t>未更新到2024Q3</t>
    <phoneticPr fontId="2" type="noConversion"/>
  </si>
  <si>
    <t>自动下载长时间无响应</t>
    <phoneticPr fontId="2" type="noConversion"/>
  </si>
  <si>
    <t>行标签</t>
  </si>
  <si>
    <t>成功</t>
  </si>
  <si>
    <t>未更新到2024Q3</t>
  </si>
  <si>
    <t>无法自动获取下载链接，需手动下载</t>
  </si>
  <si>
    <t>自动下载失败，需手动下载</t>
  </si>
  <si>
    <t>总计</t>
  </si>
  <si>
    <t>计数项:公司</t>
  </si>
  <si>
    <t>https://www.cmrh.com/html/informationDisclosure.shtml?menuName=%E4%B8%93%E9%A1%B9%E4%BF%A1%E6%81%AF</t>
    <phoneticPr fontId="2" type="noConversion"/>
  </si>
  <si>
    <t>无法检查网页元素</t>
    <phoneticPr fontId="2" type="noConversion"/>
  </si>
  <si>
    <t>xpath</t>
    <phoneticPr fontId="2" type="noConversion"/>
  </si>
  <si>
    <t>短时间内多次可能会下载失败</t>
    <phoneticPr fontId="2" type="noConversion"/>
  </si>
  <si>
    <t>2023年第1季度</t>
    <phoneticPr fontId="2" type="noConversion"/>
  </si>
  <si>
    <t>2021年第4季度</t>
    <phoneticPr fontId="2" type="noConversion"/>
  </si>
  <si>
    <t>寿险</t>
  </si>
  <si>
    <t>寿险</t>
    <phoneticPr fontId="2" type="noConversion"/>
  </si>
  <si>
    <t>健康</t>
  </si>
  <si>
    <t>养老</t>
  </si>
  <si>
    <t>类型</t>
    <phoneticPr fontId="2" type="noConversion"/>
  </si>
  <si>
    <t>https://www.picclife.cn/picclifewebsite/webfile/cfnljdbgzy/index.html</t>
    <phoneticPr fontId="2" type="noConversion"/>
  </si>
  <si>
    <t>只是企业年金，不涉及保险，不需要披露偿付能力</t>
    <phoneticPr fontId="2" type="noConversion"/>
  </si>
  <si>
    <t>只更新到2017Q1</t>
    <phoneticPr fontId="2" type="noConversion"/>
  </si>
  <si>
    <t>只更新到2021Q4</t>
    <phoneticPr fontId="2" type="noConversion"/>
  </si>
  <si>
    <t>太平养老</t>
    <phoneticPr fontId="2" type="noConversion"/>
  </si>
  <si>
    <t>https://www.cj-pension.com.cn/cjyl/CN/xxgk/qyjbxx/</t>
    <phoneticPr fontId="2" type="noConversion"/>
  </si>
  <si>
    <t>https://www.hexiehealth.com/gkxxpl/zxxx/cfnl1/index.htm</t>
    <phoneticPr fontId="2" type="noConversion"/>
  </si>
  <si>
    <t>人保健康</t>
    <phoneticPr fontId="2" type="noConversion"/>
  </si>
  <si>
    <t>https://www.picchealth.com/picchealth/gkxxpl/zxxx/cfnl/index.html</t>
    <phoneticPr fontId="2" type="noConversion"/>
  </si>
  <si>
    <t>成功</t>
    <phoneticPr fontId="2" type="noConversion"/>
  </si>
  <si>
    <t>平安养老</t>
    <phoneticPr fontId="2" type="noConversion"/>
  </si>
  <si>
    <t>https://yl.pingan.com/branding/disclosure/solvency-info</t>
    <phoneticPr fontId="2" type="noConversion"/>
  </si>
  <si>
    <t>太保健康</t>
    <phoneticPr fontId="2" type="noConversion"/>
  </si>
  <si>
    <t>https://health.cpic.com.cn/jkx/gkxxpl/cfnlxxzq/?subMenu=4&amp;inSub=2</t>
    <phoneticPr fontId="2" type="noConversion"/>
  </si>
  <si>
    <t>短时间内多次可能会下载失败，会被ban IP</t>
    <phoneticPr fontId="2" type="noConversion"/>
  </si>
  <si>
    <t>泰康养老</t>
    <phoneticPr fontId="2" type="noConversion"/>
  </si>
  <si>
    <t>https://tkyl.taikang.com/cfnl/index_1.html</t>
    <phoneticPr fontId="2" type="noConversion"/>
  </si>
  <si>
    <t>国寿养老</t>
    <phoneticPr fontId="2" type="noConversion"/>
  </si>
  <si>
    <t>成功</t>
    <phoneticPr fontId="2" type="noConversion"/>
  </si>
  <si>
    <t>新华养老</t>
    <phoneticPr fontId="2" type="noConversion"/>
  </si>
  <si>
    <t>人保养老</t>
    <phoneticPr fontId="2" type="noConversion"/>
  </si>
  <si>
    <t>瑞华健康</t>
    <phoneticPr fontId="2" type="noConversion"/>
  </si>
  <si>
    <t>恒安标准养老</t>
    <phoneticPr fontId="2" type="noConversion"/>
  </si>
  <si>
    <t>https://www.haslpension.com/henganyanglao/gkxxpl/zxxx/cfnl/index.html</t>
    <phoneticPr fontId="2" type="noConversion"/>
  </si>
  <si>
    <t>交银人寿</t>
    <phoneticPr fontId="2" type="noConversion"/>
  </si>
  <si>
    <t>成功</t>
    <phoneticPr fontId="2" type="noConversion"/>
  </si>
  <si>
    <t>德华安顾</t>
    <phoneticPr fontId="2" type="noConversion"/>
  </si>
  <si>
    <t>https://www.ergo-life.cn/#/PublicInfo/SpecialInformation?foo=5&amp;type=3&amp;fooTwo=54</t>
    <phoneticPr fontId="2" type="noConversion"/>
  </si>
  <si>
    <t>阳光人寿</t>
    <phoneticPr fontId="2" type="noConversion"/>
  </si>
  <si>
    <t>陆家嘴国泰</t>
    <phoneticPr fontId="2" type="noConversion"/>
  </si>
  <si>
    <t>恒安标准</t>
    <phoneticPr fontId="2" type="noConversion"/>
  </si>
  <si>
    <t>中信保诚</t>
    <phoneticPr fontId="2" type="noConversion"/>
  </si>
  <si>
    <t>友邦人寿</t>
    <phoneticPr fontId="2" type="noConversion"/>
  </si>
  <si>
    <t>https://www.sinosig.com/v/pilu?type=sx&amp;tabIndex=10001_39</t>
    <phoneticPr fontId="2" type="noConversion"/>
  </si>
  <si>
    <t>成功</t>
    <phoneticPr fontId="2" type="noConversion"/>
  </si>
  <si>
    <t>https://www.boc-samsunglife.cn/information?code=GW528</t>
    <phoneticPr fontId="2" type="noConversion"/>
  </si>
  <si>
    <t>成功</t>
    <phoneticPr fontId="2" type="noConversion"/>
  </si>
  <si>
    <t>横琴人寿</t>
    <phoneticPr fontId="2" type="noConversion"/>
  </si>
  <si>
    <t>https://www.hqins.cn/openInfo/information_2/Pay_info</t>
    <phoneticPr fontId="2" type="noConversion"/>
  </si>
  <si>
    <t>国民养老</t>
    <phoneticPr fontId="2" type="noConversion"/>
  </si>
  <si>
    <t>平安健康</t>
    <phoneticPr fontId="2" type="noConversion"/>
  </si>
  <si>
    <t>https://health.pingan.com/P/pubInfoDisclosure?menuName=public_information_disclosure&amp;tagId=13835058055282164003&amp;menuId=13258597302978770504&amp;secondMenuId=9223372036854806093</t>
    <phoneticPr fontId="2" type="noConversion"/>
  </si>
  <si>
    <t>海保人寿</t>
    <phoneticPr fontId="2" type="noConversion"/>
  </si>
  <si>
    <t>https://www.haibao-life.com/gkxxpl/cfnlpl/index.shtml</t>
    <phoneticPr fontId="2" type="noConversion"/>
  </si>
  <si>
    <t>成功</t>
    <phoneticPr fontId="2" type="noConversion"/>
  </si>
  <si>
    <t>下载出错，错误信息：('Connection aborted.', RemoteDisconnected('Remote end closed connection without response'))</t>
    <phoneticPr fontId="2" type="noConversion"/>
  </si>
  <si>
    <t>寿险</t>
    <phoneticPr fontId="2" type="noConversion"/>
  </si>
  <si>
    <t>下载出错，错误信息：HTTPSConnectionPool(host='www.tg-life.com.cn', port=443): Max retries exceeded with url: /front_statics/storage/file/content/2024/10/67219e70d9882.pdf (Caused by SSLError(SSLError(1, '[SSL: WRONG_SIGNATURE_TYPE] wrong signature type (_ssl.c:1020)')))</t>
    <phoneticPr fontId="2" type="noConversion"/>
  </si>
  <si>
    <t>response.status_code = 403 error 反爬虫机制</t>
    <phoneticPr fontId="2" type="noConversion"/>
  </si>
  <si>
    <t>农银人寿</t>
    <phoneticPr fontId="2" type="noConversion"/>
  </si>
  <si>
    <t>https://www.abchinalife.com/xxpl/zxxx/cfnljdpl/index.shtml</t>
    <phoneticPr fontId="2" type="noConversion"/>
  </si>
  <si>
    <t>招商仁和</t>
    <phoneticPr fontId="2" type="noConversion"/>
  </si>
  <si>
    <t>成功</t>
    <phoneticPr fontId="2" type="noConversion"/>
  </si>
  <si>
    <t>华汇人寿</t>
    <phoneticPr fontId="2" type="noConversion"/>
  </si>
  <si>
    <t>https://www.sciclife.com/cfnl_pub_child/index.html</t>
    <phoneticPr fontId="2" type="noConversion"/>
  </si>
  <si>
    <t>中韩人寿</t>
    <phoneticPr fontId="2" type="noConversion"/>
  </si>
  <si>
    <t>自动下载失败，需手动下载</t>
    <phoneticPr fontId="2" type="noConversion"/>
  </si>
  <si>
    <t>利安人寿</t>
    <phoneticPr fontId="2" type="noConversion"/>
  </si>
  <si>
    <t>http://www.lianlife.cc/zxxx/cfnlnew/</t>
    <phoneticPr fontId="2" type="noConversion"/>
  </si>
  <si>
    <t>response.status_code = 404 error 反爬虫机制</t>
    <phoneticPr fontId="2" type="noConversion"/>
  </si>
  <si>
    <t>response.status_code = 418 error 反爬虫机制</t>
    <phoneticPr fontId="2" type="noConversion"/>
  </si>
  <si>
    <t>大家养老</t>
    <phoneticPr fontId="2" type="noConversion"/>
  </si>
  <si>
    <t>418 error 您的请求疑似攻击行为！</t>
    <phoneticPr fontId="2" type="noConversion"/>
  </si>
  <si>
    <t>412 error 会识别自动工具</t>
    <phoneticPr fontId="2" type="noConversion"/>
  </si>
  <si>
    <t>东吴人寿</t>
    <phoneticPr fontId="2" type="noConversion"/>
  </si>
  <si>
    <t>https://www.soochowlife.net/cs/gkxxpl/zxxx/cfnl/index.html</t>
    <phoneticPr fontId="2" type="noConversion"/>
  </si>
  <si>
    <t>成功</t>
    <phoneticPr fontId="2" type="noConversion"/>
  </si>
  <si>
    <t>Y</t>
    <phoneticPr fontId="2" type="noConversion"/>
  </si>
  <si>
    <t>2025Q2</t>
  </si>
  <si>
    <t>2025Q2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</si>
</sst>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1" xfId="0" applyFont="1" applyBorder="1" applyAlignment="1">
      <alignment horizontal="center" vertical="top"/>
    </xf>
    <xf numFmtId="0" fontId="4" fillId="2" borderId="0" xfId="0" applyFont="1" applyFill="1"/>
    <xf numFmtId="0" fontId="5" fillId="0" borderId="0" xfId="0" applyFont="1"/>
    <xf numFmtId="0" fontId="5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5" fillId="3" borderId="0" xfId="0" applyFont="1" applyFill="1"/>
    <xf numFmtId="0" fontId="0" fillId="4" borderId="0" xfId="0" applyFill="1"/>
    <xf numFmtId="0" fontId="5" fillId="4" borderId="0" xfId="0" applyFont="1" applyFill="1"/>
  </cellXfs>
  <cellStyles count="1">
    <cellStyle name="常规" xfId="0" builtinId="0"/>
  </cellStyles>
  <dxfs count="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卢泉霖" refreshedDate="45663.443001041669" createdVersion="6" refreshedVersion="6" minRefreshableVersion="3" recordCount="92" xr:uid="{00000000-000A-0000-FFFF-FFFF0B000000}">
  <cacheSource type="worksheet">
    <worksheetSource ref="A1:M93" sheet="config"/>
  </cacheSource>
  <cacheFields count="13">
    <cacheField name="control" numFmtId="0">
      <sharedItems/>
    </cacheField>
    <cacheField name="公司" numFmtId="0">
      <sharedItems count="92">
        <s v="平安寿险"/>
        <s v="中国人寿"/>
        <s v="新华保险"/>
        <s v="太保寿险"/>
        <s v="招商信诺"/>
        <s v="泰康人寿"/>
        <s v="人保寿险"/>
        <s v="中邮人寿"/>
        <s v="工银安盛"/>
        <s v="国华人寿"/>
        <s v="信泰人寿"/>
        <s v="建信人寿"/>
        <s v="民生人寿"/>
        <s v="中宏人寿"/>
        <s v="中英人寿"/>
        <s v="中美联泰"/>
        <s v="中意人寿"/>
        <s v="长城人寿"/>
        <s v="幸福人寿"/>
        <s v="光大永明"/>
        <s v="英大人寿"/>
        <s v="同方全球"/>
        <s v="中荷人寿"/>
        <s v="财信人寿"/>
        <s v="华泰人寿"/>
        <s v="安联人寿"/>
        <s v="北京人寿"/>
        <s v="复星联合"/>
        <s v="国联人寿"/>
        <s v="信美人寿"/>
        <s v="中华人寿"/>
        <s v="复星保德信"/>
        <s v="汇丰人寿"/>
        <s v="爱心人寿"/>
        <s v="小康人寿"/>
        <s v="北大方正"/>
        <s v="瑞泰人寿"/>
        <s v="国宝人寿"/>
        <s v="和泰人寿"/>
        <s v="国富人寿"/>
        <s v="华贵人寿"/>
        <s v="长生人寿"/>
        <s v="鼎诚人寿"/>
        <s v="人保健康"/>
        <s v="平安养老"/>
        <s v="太保健康"/>
        <s v="泰康养老"/>
        <s v="国寿养老"/>
        <s v="新华养老"/>
        <s v="人保养老"/>
        <s v="瑞华健康"/>
        <s v="恒安标准养老"/>
        <s v="弘康人寿"/>
        <s v="德华安顾"/>
        <s v="阳光人寿"/>
        <s v="中银三星"/>
        <s v="横琴人寿"/>
        <s v="国民养老"/>
        <s v="平安健康"/>
        <s v="海保人寿"/>
        <s v="东吴人寿"/>
        <s v="交银人寿"/>
        <s v="农银人寿"/>
        <s v="招商仁和"/>
        <s v="华汇人寿"/>
        <s v="陆家嘴国泰"/>
        <s v="恒安标准"/>
        <s v="三峡人寿"/>
        <s v="中信保诚"/>
        <s v="利安人寿"/>
        <s v="君龙人寿"/>
        <s v="友邦人寿"/>
        <s v="中韩人寿"/>
        <s v="大家养老"/>
        <s v="太平人寿"/>
        <s v="太平养老"/>
        <s v="合众人寿"/>
        <s v="百年人寿"/>
        <s v="渤海人寿"/>
        <s v="大家人寿"/>
        <s v="富德生命"/>
        <s v="华夏人寿"/>
        <s v="恒大人寿"/>
        <s v="君康人寿"/>
        <s v="前海人寿"/>
        <s v="上海人寿"/>
        <s v="天安人寿"/>
        <s v="中融人寿"/>
        <s v="珠江人寿"/>
        <s v="长江养老"/>
        <s v="和谐健康"/>
        <s v="昆仑健康"/>
      </sharedItems>
    </cacheField>
    <cacheField name="类型" numFmtId="0">
      <sharedItems/>
    </cacheField>
    <cacheField name="网址" numFmtId="0">
      <sharedItems/>
    </cacheField>
    <cacheField name="进度" numFmtId="0">
      <sharedItems count="4">
        <s v="成功"/>
        <s v="自动下载失败，需手动下载"/>
        <s v="无法自动获取下载链接，需手动下载"/>
        <s v="未更新到2024Q3"/>
      </sharedItems>
    </cacheField>
    <cacheField name="备注" numFmtId="0">
      <sharedItems containsBlank="1" longText="1"/>
    </cacheField>
    <cacheField name="text_to_find" numFmtId="0">
      <sharedItems containsBlank="1"/>
    </cacheField>
    <cacheField name="xpath" numFmtId="0">
      <sharedItems containsNonDate="0" containsString="0" containsBlank="1"/>
    </cacheField>
    <cacheField name="季度" numFmtId="0">
      <sharedItems/>
    </cacheField>
    <cacheField name="Y" numFmtId="0">
      <sharedItems/>
    </cacheField>
    <cacheField name="Q" numFmtId="0">
      <sharedItems/>
    </cacheField>
    <cacheField name="保存地址" numFmtId="0">
      <sharedItems/>
    </cacheField>
    <cacheField name="保存文件名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2">
  <r>
    <s v="N"/>
    <x v="0"/>
    <s v="寿险"/>
    <s v="https://life.pingan.com/gongkaixinxipilu/changfunenglibaogao.jsp"/>
    <x v="0"/>
    <m/>
    <s v="2024年第3季度"/>
    <m/>
    <s v="2024Q3"/>
    <s v="2024"/>
    <s v="3"/>
    <s v="D:\文档\_工作相关\KPMG\CROSS II\2024Q3"/>
    <s v="平安寿险2024Q3偿付能力季度报告摘要.pdf"/>
  </r>
  <r>
    <s v="N"/>
    <x v="1"/>
    <s v="寿险"/>
    <s v="https://www.e-chinalife.com/tzzgx/tzzgx/dqbg/cfnljbzy/"/>
    <x v="0"/>
    <m/>
    <s v="2024年3季度"/>
    <m/>
    <s v="2024Q3"/>
    <s v="2024"/>
    <s v="3"/>
    <s v="D:\文档\_工作相关\KPMG\CROSS II\2024Q3"/>
    <s v="中国人寿2024Q3偿付能力季度报告摘要.pdf"/>
  </r>
  <r>
    <s v="N"/>
    <x v="2"/>
    <s v="寿险"/>
    <s v="https://www.newchinalife.com/info/53474"/>
    <x v="0"/>
    <m/>
    <s v="2024年第三季度"/>
    <m/>
    <s v="2024Q3"/>
    <s v="2024"/>
    <s v="3"/>
    <s v="D:\文档\_工作相关\KPMG\CROSS II\2024Q3"/>
    <s v="新华保险2024Q3偿付能力季度报告摘要.pdf"/>
  </r>
  <r>
    <s v="N"/>
    <x v="3"/>
    <s v="寿险"/>
    <s v="https://life.cpic.com.cn/xrsbx/gkxxpl/cfnlxxzq/?subMenu=4&amp;inSub=3"/>
    <x v="0"/>
    <m/>
    <s v="2024年第3季度"/>
    <m/>
    <s v="2024Q3"/>
    <s v="2024"/>
    <s v="3"/>
    <s v="D:\文档\_工作相关\KPMG\CROSS II\2024Q3"/>
    <s v="太保寿险2024Q3偿付能力季度报告摘要.pdf"/>
  </r>
  <r>
    <s v="N"/>
    <x v="4"/>
    <s v="寿险"/>
    <s v="https://www.cignacmb.com/xinxi/jibenxinxi/changfunengli.html"/>
    <x v="0"/>
    <m/>
    <s v="2024年第3季度"/>
    <m/>
    <s v="2024Q3"/>
    <s v="2024"/>
    <s v="3"/>
    <s v="D:\文档\_工作相关\KPMG\CROSS II\2024Q3"/>
    <s v="招商信诺2024Q3偿付能力季度报告摘要.pdf"/>
  </r>
  <r>
    <s v="N"/>
    <x v="5"/>
    <s v="寿险"/>
    <s v="https://www.taikanglife.com/publicinfonew/specialinfo/payinfonew/list_418_1.html"/>
    <x v="0"/>
    <m/>
    <s v="2024年第3季度"/>
    <m/>
    <s v="2024Q3"/>
    <s v="2024"/>
    <s v="3"/>
    <s v="D:\文档\_工作相关\KPMG\CROSS II\2024Q3"/>
    <s v="泰康人寿2024Q3偿付能力季度报告摘要.pdf"/>
  </r>
  <r>
    <s v="N"/>
    <x v="6"/>
    <s v="寿险"/>
    <s v="https://www.picclife.cn/picclifewebsite/webfile/cfnljdbgzy/index.html"/>
    <x v="0"/>
    <m/>
    <s v="2024年第3季度"/>
    <m/>
    <s v="2024Q3"/>
    <s v="2024"/>
    <s v="3"/>
    <s v="D:\文档\_工作相关\KPMG\CROSS II\2024Q3"/>
    <s v="人保寿险2024Q3偿付能力季度报告摘要.pdf"/>
  </r>
  <r>
    <s v="N"/>
    <x v="7"/>
    <s v="寿险"/>
    <s v="https://www.chinapost-life.com/publish/publish4/publish4_4/"/>
    <x v="0"/>
    <m/>
    <s v="2024年3季度"/>
    <m/>
    <s v="2024Q3"/>
    <s v="2024"/>
    <s v="3"/>
    <s v="D:\文档\_工作相关\KPMG\CROSS II\2024Q3"/>
    <s v="中邮人寿2024Q3偿付能力季度报告摘要.pdf"/>
  </r>
  <r>
    <s v="N"/>
    <x v="8"/>
    <s v="寿险"/>
    <s v="https://www.icbc-axa.com/public/special_infor_temp/special_infor_3/publicList.jsp"/>
    <x v="0"/>
    <m/>
    <s v="2024年第三季度"/>
    <m/>
    <s v="2024Q3"/>
    <s v="2024"/>
    <s v="3"/>
    <s v="D:\文档\_工作相关\KPMG\CROSS II\2024Q3"/>
    <s v="工银安盛2024Q3偿付能力季度报告摘要.pdf"/>
  </r>
  <r>
    <s v="N"/>
    <x v="9"/>
    <s v="寿险"/>
    <s v="https://www.95549.cn/pages/intro/xxpl05.shtml"/>
    <x v="0"/>
    <m/>
    <s v="2024年3季度"/>
    <m/>
    <s v="2024Q3"/>
    <s v="2024"/>
    <s v="3"/>
    <s v="D:\文档\_工作相关\KPMG\CROSS II\2024Q3"/>
    <s v="国华人寿2024Q3偿付能力季度报告摘要.pdf"/>
  </r>
  <r>
    <s v="N"/>
    <x v="10"/>
    <s v="寿险"/>
    <s v="https://xintai.com/web/info/specialInfo/solvencyReport/periodicDisclosure/index.jsp"/>
    <x v="0"/>
    <m/>
    <s v="2024年第3季度"/>
    <m/>
    <s v="2024Q3"/>
    <s v="2024"/>
    <s v="3"/>
    <s v="D:\文档\_工作相关\KPMG\CROSS II\2024Q3"/>
    <s v="信泰人寿2024Q3偿付能力季度报告摘要.pdf"/>
  </r>
  <r>
    <s v="N"/>
    <x v="11"/>
    <s v="寿险"/>
    <s v="https://www.ccb-life.com.cn/html/6182/3185/index.html"/>
    <x v="0"/>
    <m/>
    <s v="2024年第3季度"/>
    <m/>
    <s v="2024Q3"/>
    <s v="2024"/>
    <s v="3"/>
    <s v="D:\文档\_工作相关\KPMG\CROSS II\2024Q3"/>
    <s v="建信人寿2024Q3偿付能力季度报告摘要.pdf"/>
  </r>
  <r>
    <s v="N"/>
    <x v="12"/>
    <s v="寿险"/>
    <s v="https://www.minshenglife.com/articleListOfChannel/357"/>
    <x v="0"/>
    <m/>
    <s v="2024年3季度"/>
    <m/>
    <s v="2024Q3"/>
    <s v="2024"/>
    <s v="3"/>
    <s v="D:\文档\_工作相关\KPMG\CROSS II\2024Q3"/>
    <s v="民生人寿2024Q3偿付能力季度报告摘要.pdf"/>
  </r>
  <r>
    <s v="N"/>
    <x v="13"/>
    <s v="寿险"/>
    <s v="https://www.manulife-sinochem.com/public-information/special/solvency"/>
    <x v="0"/>
    <m/>
    <s v="2024Q3"/>
    <m/>
    <s v="2024Q3"/>
    <s v="2024"/>
    <s v="3"/>
    <s v="D:\文档\_工作相关\KPMG\CROSS II\2024Q3"/>
    <s v="中宏人寿2024Q3偿付能力季度报告摘要.pdf"/>
  </r>
  <r>
    <s v="N"/>
    <x v="14"/>
    <s v="寿险"/>
    <s v="http://www.aviva-cofco.com.cn/website/xxzx/gkxxpl/zxxx/cfnljdbgzy/cfnl1/list-1.shtml"/>
    <x v="0"/>
    <m/>
    <s v="2024年第3季度"/>
    <m/>
    <s v="2024Q3"/>
    <s v="2024"/>
    <s v="3"/>
    <s v="D:\文档\_工作相关\KPMG\CROSS II\2024Q3"/>
    <s v="中英人寿2024Q3偿付能力季度报告摘要.pdf"/>
  </r>
  <r>
    <s v="N"/>
    <x v="15"/>
    <s v="寿险"/>
    <s v="https://www.metlife.com.cn/information-disclosure/public-information-disclosure/special-information/solvency-information"/>
    <x v="0"/>
    <m/>
    <s v="2024年3季度"/>
    <m/>
    <s v="2024Q3"/>
    <s v="2024"/>
    <s v="3"/>
    <s v="D:\文档\_工作相关\KPMG\CROSS II\2024Q3"/>
    <s v="中美联泰2024Q3偿付能力季度报告摘要.pdf"/>
  </r>
  <r>
    <s v="N"/>
    <x v="16"/>
    <s v="寿险"/>
    <s v="https://www.generalichina.com/cfnlnew/"/>
    <x v="0"/>
    <m/>
    <s v="2024年第3季度"/>
    <m/>
    <s v="2024Q3"/>
    <s v="2024"/>
    <s v="3"/>
    <s v="D:\文档\_工作相关\KPMG\CROSS II\2024Q3"/>
    <s v="中意人寿2024Q3偿付能力季度报告摘要.pdf"/>
  </r>
  <r>
    <s v="N"/>
    <x v="17"/>
    <s v="寿险"/>
    <s v="https://www.greatlife.cn/page/xxpl/cfnl/cfnl.shtml"/>
    <x v="0"/>
    <m/>
    <s v="2024年第三季度"/>
    <m/>
    <s v="2024Q3"/>
    <s v="2024"/>
    <s v="3"/>
    <s v="D:\文档\_工作相关\KPMG\CROSS II\2024Q3"/>
    <s v="长城人寿2024Q3偿付能力季度报告摘要.pdf"/>
  </r>
  <r>
    <s v="N"/>
    <x v="18"/>
    <s v="寿险"/>
    <s v="https://www.happyinsurance.com.cn/info/list_30_36_1.html#infoAnchor"/>
    <x v="0"/>
    <m/>
    <s v="2024年第3季度"/>
    <m/>
    <s v="2024Q3"/>
    <s v="2024"/>
    <s v="3"/>
    <s v="D:\文档\_工作相关\KPMG\CROSS II\2024Q3"/>
    <s v="幸福人寿2024Q3偿付能力季度报告摘要.pdf"/>
  </r>
  <r>
    <s v="N"/>
    <x v="19"/>
    <s v="寿险"/>
    <s v="https://www.sunlife-everbright.com/sleb/info/zxxx/cfnlxxplzl/index.html"/>
    <x v="0"/>
    <m/>
    <s v="2024年3季度"/>
    <m/>
    <s v="2024Q3"/>
    <s v="2024"/>
    <s v="3"/>
    <s v="D:\文档\_工作相关\KPMG\CROSS II\2024Q3"/>
    <s v="光大永明2024Q3偿付能力季度报告摘要.pdf"/>
  </r>
  <r>
    <s v="N"/>
    <x v="20"/>
    <s v="寿险"/>
    <s v="http://www.ydthlife.sgcc.com.cn/gkxxpl/zxxx/cfnlxx/index.shtml"/>
    <x v="0"/>
    <m/>
    <s v="2024年3季度"/>
    <m/>
    <s v="2024Q3"/>
    <s v="2024"/>
    <s v="3"/>
    <s v="D:\文档\_工作相关\KPMG\CROSS II\2024Q3"/>
    <s v="英大人寿2024Q3偿付能力季度报告摘要.pdf"/>
  </r>
  <r>
    <s v="N"/>
    <x v="21"/>
    <s v="寿险"/>
    <s v="https://www.aegonthtf.com/gkxxpl/zxxx/cfnl/"/>
    <x v="0"/>
    <m/>
    <s v="2024年第3季度"/>
    <m/>
    <s v="2024Q3"/>
    <s v="2024"/>
    <s v="3"/>
    <s v="D:\文档\_工作相关\KPMG\CROSS II\2024Q3"/>
    <s v="同方全球2024Q3偿付能力季度报告摘要.pdf"/>
  </r>
  <r>
    <s v="N"/>
    <x v="22"/>
    <s v="寿险"/>
    <s v="http://www.bob-cardif.com/xinxipilu/zhuanxiangxinxi/changfunenglixinxi/index.html"/>
    <x v="0"/>
    <m/>
    <s v="2024年第3季度"/>
    <m/>
    <s v="2024Q3"/>
    <s v="2024"/>
    <s v="3"/>
    <s v="D:\文档\_工作相关\KPMG\CROSS II\2024Q3"/>
    <s v="中荷人寿2024Q3偿付能力季度报告摘要.pdf"/>
  </r>
  <r>
    <s v="N"/>
    <x v="23"/>
    <s v="寿险"/>
    <s v="https://life.hnchasing.com/web/info/iteminfo/cfnl/dqpl/index.jsp"/>
    <x v="0"/>
    <m/>
    <s v="2024年3季度"/>
    <m/>
    <s v="2024Q3"/>
    <s v="2024"/>
    <s v="3"/>
    <s v="D:\文档\_工作相关\KPMG\CROSS II\2024Q3"/>
    <s v="财信人寿2024Q3偿付能力季度报告摘要.pdf"/>
  </r>
  <r>
    <s v="N"/>
    <x v="24"/>
    <s v="寿险"/>
    <s v="http://life.ehuatai.com/solvency.html"/>
    <x v="0"/>
    <m/>
    <s v="2024年第三季度"/>
    <m/>
    <s v="2024Q3"/>
    <s v="2024"/>
    <s v="3"/>
    <s v="D:\文档\_工作相关\KPMG\CROSS II\2024Q3"/>
    <s v="华泰人寿2024Q3偿付能力季度报告摘要.pdf"/>
  </r>
  <r>
    <s v="N"/>
    <x v="25"/>
    <s v="寿险"/>
    <s v="https://www.allianz.com.cn/solvencyCapacity/AZ01005"/>
    <x v="0"/>
    <m/>
    <s v="2024年第3季度"/>
    <m/>
    <s v="2024Q3"/>
    <s v="2024"/>
    <s v="3"/>
    <s v="D:\文档\_工作相关\KPMG\CROSS II\2024Q3"/>
    <s v="安联人寿2024Q3偿付能力季度报告摘要.pdf"/>
  </r>
  <r>
    <s v="N"/>
    <x v="26"/>
    <s v="寿险"/>
    <s v="https://www.beijinglife.com.cn/publicInfo/solvency/"/>
    <x v="0"/>
    <m/>
    <s v="2024年3季度"/>
    <m/>
    <s v="2024Q3"/>
    <s v="2024"/>
    <s v="3"/>
    <s v="D:\文档\_工作相关\KPMG\CROSS II\2024Q3"/>
    <s v="北京人寿2024Q3偿付能力季度报告摘要.pdf"/>
  </r>
  <r>
    <s v="N"/>
    <x v="27"/>
    <s v="寿险"/>
    <s v="https://www.fosun-uhi.com/PublicInformation/SolvencyInformation/"/>
    <x v="0"/>
    <m/>
    <s v="2024年3季度"/>
    <m/>
    <s v="2024Q3"/>
    <s v="2024"/>
    <s v="3"/>
    <s v="D:\文档\_工作相关\KPMG\CROSS II\2024Q3"/>
    <s v="复星联合2024Q3偿付能力季度报告摘要.pdf"/>
  </r>
  <r>
    <s v="N"/>
    <x v="28"/>
    <s v="寿险"/>
    <s v="https://www.guolian-life.com/companyNewsCenter.html?menuCode=107&amp;grade=3"/>
    <x v="0"/>
    <m/>
    <s v="2024年第3季度"/>
    <m/>
    <s v="2024Q3"/>
    <s v="2024"/>
    <s v="3"/>
    <s v="D:\文档\_工作相关\KPMG\CROSS II\2024Q3"/>
    <s v="国联人寿2024Q3偿付能力季度报告摘要.pdf"/>
  </r>
  <r>
    <s v="N"/>
    <x v="29"/>
    <s v="寿险"/>
    <s v="https://www.trustlife.com/cms/html/payReport/"/>
    <x v="0"/>
    <m/>
    <s v="2024年第三季度"/>
    <m/>
    <s v="2024Q3"/>
    <s v="2024"/>
    <s v="3"/>
    <s v="D:\文档\_工作相关\KPMG\CROSS II\2024Q3"/>
    <s v="信美人寿2024Q3偿付能力季度报告摘要.pdf"/>
  </r>
  <r>
    <s v="N"/>
    <x v="30"/>
    <s v="寿险"/>
    <s v="https://life.cic.cn/redirect/info/repayMessage"/>
    <x v="0"/>
    <m/>
    <s v="2024年三季度"/>
    <m/>
    <s v="2024Q3"/>
    <s v="2024"/>
    <s v="3"/>
    <s v="D:\文档\_工作相关\KPMG\CROSS II\2024Q3"/>
    <s v="中华人寿2024Q3偿付能力季度报告摘要.pdf"/>
  </r>
  <r>
    <s v="N"/>
    <x v="31"/>
    <s v="寿险"/>
    <s v="https://www.pflife.com.cn/cpramericaFosun/publish/main/announce/specialInformation/payinfo/index.html"/>
    <x v="0"/>
    <m/>
    <s v="2024年3季度"/>
    <m/>
    <s v="2024Q3"/>
    <s v="2024"/>
    <s v="3"/>
    <s v="D:\文档\_工作相关\KPMG\CROSS II\2024Q3"/>
    <s v="复星保德信2024Q3偿付能力季度报告摘要.pdf"/>
  </r>
  <r>
    <s v="N"/>
    <x v="32"/>
    <s v="寿险"/>
    <s v="https://www.hsbcinsurance.com.cn/about-us/information-disclosure/special-information/#03"/>
    <x v="0"/>
    <m/>
    <s v="2024年第三季度偿付能力"/>
    <m/>
    <s v="2024Q3"/>
    <s v="2024"/>
    <s v="3"/>
    <s v="D:\文档\_工作相关\KPMG\CROSS II\2024Q3"/>
    <s v="汇丰人寿2024Q3偿付能力季度报告摘要.pdf"/>
  </r>
  <r>
    <s v="N"/>
    <x v="33"/>
    <s v="寿险"/>
    <s v="https://www.aixin-ins.com/gdgq/index.jhtml#"/>
    <x v="0"/>
    <m/>
    <s v="2024年第三季度偿付能力"/>
    <m/>
    <s v="2024Q3"/>
    <s v="2024"/>
    <s v="3"/>
    <s v="D:\文档\_工作相关\KPMG\CROSS II\2024Q3"/>
    <s v="爱心人寿2024Q3偿付能力季度报告摘要.pdf"/>
  </r>
  <r>
    <s v="N"/>
    <x v="34"/>
    <s v="寿险"/>
    <s v="http://www.sfli.com.cn/cms-web/front/sinofrench/plxx/zxxx/cfnl/cfnl@1.html"/>
    <x v="0"/>
    <m/>
    <s v="2024年第3季度偿付能力"/>
    <m/>
    <s v="2024Q3"/>
    <s v="2024"/>
    <s v="3"/>
    <s v="D:\文档\_工作相关\KPMG\CROSS II\2024Q3"/>
    <s v="小康人寿2024Q3偿付能力季度报告摘要.pdf"/>
  </r>
  <r>
    <s v="N"/>
    <x v="35"/>
    <s v="寿险"/>
    <s v="https://www.pkufi.com/public-infomation/specialMsg/payCapacity?content=%E5%81%BF%E4%BB%98%E8%83%BD%E5%8A%9B"/>
    <x v="0"/>
    <m/>
    <s v="2024年第3季度"/>
    <m/>
    <s v="2024Q3"/>
    <s v="2024"/>
    <s v="3"/>
    <s v="D:\文档\_工作相关\KPMG\CROSS II\2024Q3"/>
    <s v="北大方正2024Q3偿付能力季度报告摘要.pdf"/>
  </r>
  <r>
    <s v="N"/>
    <x v="36"/>
    <s v="寿险"/>
    <s v="https://www.oldmutual-chnenergy.com/InfoPublish/tempReport/Solvency/"/>
    <x v="0"/>
    <m/>
    <s v="2024年第三季度"/>
    <m/>
    <s v="2024Q3"/>
    <s v="2024"/>
    <s v="3"/>
    <s v="D:\文档\_工作相关\KPMG\CROSS II\2024Q3"/>
    <s v="瑞泰人寿2024Q3偿付能力季度报告摘要.pdf"/>
  </r>
  <r>
    <s v="N"/>
    <x v="37"/>
    <s v="寿险"/>
    <s v="https://www.panda-assets.com/PublicInfo/Index?TypeId=57"/>
    <x v="0"/>
    <m/>
    <s v="2024年第3季度"/>
    <m/>
    <s v="2024Q3"/>
    <s v="2024"/>
    <s v="3"/>
    <s v="D:\文档\_工作相关\KPMG\CROSS II\2024Q3"/>
    <s v="国宝人寿2024Q3偿付能力季度报告摘要.pdf"/>
  </r>
  <r>
    <s v="N"/>
    <x v="38"/>
    <s v="寿险"/>
    <s v="https://www.htlic.com/info/special/liquidate"/>
    <x v="0"/>
    <m/>
    <s v="2024年第三季度"/>
    <m/>
    <s v="2024Q3"/>
    <s v="2024"/>
    <s v="3"/>
    <s v="D:\文档\_工作相关\KPMG\CROSS II\2024Q3"/>
    <s v="和泰人寿2024Q3偿付能力季度报告摘要.pdf"/>
  </r>
  <r>
    <s v="N"/>
    <x v="39"/>
    <s v="寿险"/>
    <s v="https://www.e-guofu.com/zfnl/index.html"/>
    <x v="0"/>
    <m/>
    <s v="2024年第三季度"/>
    <m/>
    <s v="2024Q3"/>
    <s v="2024"/>
    <s v="3"/>
    <s v="D:\文档\_工作相关\KPMG\CROSS II\2024Q3"/>
    <s v="国富人寿2024Q3偿付能力季度报告摘要.pdf"/>
  </r>
  <r>
    <s v="N"/>
    <x v="40"/>
    <s v="寿险"/>
    <s v="https://www.huaguilife.cn/index/hgpcgw/generate/web/gkxxpl/zxxx/changfunengli/index.html?typeid=1610577898428649474&amp;thirdId=1624043819551543297#scrollTo"/>
    <x v="0"/>
    <m/>
    <s v="2024年第3季度"/>
    <m/>
    <s v="2024Q3"/>
    <s v="2024"/>
    <s v="3"/>
    <s v="D:\文档\_工作相关\KPMG\CROSS II\2024Q3"/>
    <s v="华贵人寿2024Q3偿付能力季度报告摘要.pdf"/>
  </r>
  <r>
    <s v="N"/>
    <x v="41"/>
    <s v="寿险"/>
    <s v="https://www.gwcslife.com/main/index/gkxxplzl/lsxx/cfnljdbgzy/index.html"/>
    <x v="0"/>
    <m/>
    <s v="2024年第3季度"/>
    <m/>
    <s v="2024Q3"/>
    <s v="2024"/>
    <s v="3"/>
    <s v="D:\文档\_工作相关\KPMG\CROSS II\2024Q3"/>
    <s v="长生人寿2024Q3偿付能力季度报告摘要.pdf"/>
  </r>
  <r>
    <s v="N"/>
    <x v="42"/>
    <s v="寿险"/>
    <s v="https://www.dingchenglife.com.cn/zxxx/cfnl/"/>
    <x v="0"/>
    <m/>
    <s v="2024年第3季度"/>
    <m/>
    <s v="2024Q3"/>
    <s v="2024"/>
    <s v="3"/>
    <s v="D:\文档\_工作相关\KPMG\CROSS II\2024Q3"/>
    <s v="鼎诚人寿2024Q3偿付能力季度报告摘要.pdf"/>
  </r>
  <r>
    <s v="N"/>
    <x v="43"/>
    <s v="健康"/>
    <s v="https://www.picchealth.com/picchealth/gkxxpl/zxxx/cfnl/index.html"/>
    <x v="0"/>
    <m/>
    <s v="2024年第3季度"/>
    <m/>
    <s v="2024Q3"/>
    <s v="2024"/>
    <s v="3"/>
    <s v="D:\文档\_工作相关\KPMG\CROSS II\2024Q3"/>
    <s v="人保健康2024Q3偿付能力季度报告摘要.pdf"/>
  </r>
  <r>
    <s v="N"/>
    <x v="44"/>
    <s v="养老"/>
    <s v="https://yl.pingan.com/branding/disclosure/solvency-info"/>
    <x v="0"/>
    <m/>
    <s v="2024年第三季度"/>
    <m/>
    <s v="2024Q3"/>
    <s v="2024"/>
    <s v="3"/>
    <s v="D:\文档\_工作相关\KPMG\CROSS II\2024Q3"/>
    <s v="平安养老2024Q3偿付能力季度报告摘要.pdf"/>
  </r>
  <r>
    <s v="N"/>
    <x v="45"/>
    <s v="健康"/>
    <s v="https://health.cpic.com.cn/jkx/gkxxpl/cfnlxxzq/?subMenu=4&amp;inSub=2"/>
    <x v="0"/>
    <m/>
    <s v="2024年第3季度"/>
    <m/>
    <s v="2024Q3"/>
    <s v="2024"/>
    <s v="3"/>
    <s v="D:\文档\_工作相关\KPMG\CROSS II\2024Q3"/>
    <s v="太保健康2024Q3偿付能力季度报告摘要.pdf"/>
  </r>
  <r>
    <s v="N"/>
    <x v="46"/>
    <s v="养老"/>
    <s v="https://tkyl.taikang.com/cfnl/index_1.html"/>
    <x v="0"/>
    <m/>
    <s v="2024年第3季度"/>
    <m/>
    <s v="2024Q3"/>
    <s v="2024"/>
    <s v="3"/>
    <s v="D:\文档\_工作相关\KPMG\CROSS II\2024Q3"/>
    <s v="泰康养老2024Q3偿付能力季度报告摘要.pdf"/>
  </r>
  <r>
    <s v="N"/>
    <x v="47"/>
    <s v="养老"/>
    <s v="https://www.clpc.com.cn/chinalifepension/gkxxpl/zxxx/cfnl/index.html"/>
    <x v="0"/>
    <m/>
    <s v="2024年第3季度"/>
    <m/>
    <s v="2024Q3"/>
    <s v="2024"/>
    <s v="3"/>
    <s v="D:\文档\_工作相关\KPMG\CROSS II\2024Q3"/>
    <s v="国寿养老2024Q3偿付能力季度报告摘要.pdf"/>
  </r>
  <r>
    <s v="N"/>
    <x v="48"/>
    <s v="养老"/>
    <s v="https://www.newchinapension.com/xhylbx/_300468/_300684/index.html"/>
    <x v="0"/>
    <m/>
    <s v="2024年3季度"/>
    <m/>
    <s v="2024Q3"/>
    <s v="2024"/>
    <s v="3"/>
    <s v="D:\文档\_工作相关\KPMG\CROSS II\2024Q3"/>
    <s v="新华养老2024Q3偿付能力季度报告摘要.pdf"/>
  </r>
  <r>
    <s v="N"/>
    <x v="49"/>
    <s v="养老"/>
    <s v="https://www.picc-pension.com.cn/html1/category/23042/30-1.htm"/>
    <x v="0"/>
    <m/>
    <s v="2024年第3季度"/>
    <m/>
    <s v="2024Q3"/>
    <s v="2024"/>
    <s v="3"/>
    <s v="D:\文档\_工作相关\KPMG\CROSS II\2024Q3"/>
    <s v="人保养老2024Q3偿付能力季度报告摘要.pdf"/>
  </r>
  <r>
    <s v="N"/>
    <x v="50"/>
    <s v="健康"/>
    <s v="https://www.rhassurance.com/rhOffic/information/special/3"/>
    <x v="0"/>
    <m/>
    <s v="2024年第3季度"/>
    <m/>
    <s v="2024Q3"/>
    <s v="2024"/>
    <s v="3"/>
    <s v="D:\文档\_工作相关\KPMG\CROSS II\2024Q3"/>
    <s v="瑞华健康2024Q3偿付能力季度报告摘要.pdf"/>
  </r>
  <r>
    <s v="N"/>
    <x v="51"/>
    <s v="养老"/>
    <s v="https://www.haslpension.com/henganyanglao/gkxxpl/zxxx/cfnl/index.html"/>
    <x v="0"/>
    <m/>
    <s v="2024年第三季度"/>
    <m/>
    <s v="2024Q3"/>
    <s v="2024"/>
    <s v="3"/>
    <s v="D:\文档\_工作相关\KPMG\CROSS II\2024Q3"/>
    <s v="恒安标准养老2024Q3偿付能力季度报告摘要.pdf"/>
  </r>
  <r>
    <s v="N"/>
    <x v="52"/>
    <s v="寿险"/>
    <s v="https://www.hongkang-life.com/hongkang/InfoDisclosure.html"/>
    <x v="0"/>
    <m/>
    <s v="2024年3季度"/>
    <m/>
    <s v="2024Q3"/>
    <s v="2024"/>
    <s v="3"/>
    <s v="D:\文档\_工作相关\KPMG\CROSS II\2024Q3"/>
    <s v="弘康人寿2024Q3偿付能力季度报告摘要.pdf"/>
  </r>
  <r>
    <s v="N"/>
    <x v="53"/>
    <s v="寿险"/>
    <s v="https://www.ergo-life.cn/#/PublicInfo/SpecialInformation?foo=5&amp;type=3&amp;fooTwo=54"/>
    <x v="0"/>
    <m/>
    <s v="2024年第3季度偿付能力"/>
    <m/>
    <s v="2024Q3"/>
    <s v="2024"/>
    <s v="3"/>
    <s v="D:\文档\_工作相关\KPMG\CROSS II\2024Q3"/>
    <s v="德华安顾2024Q3偿付能力季度报告摘要.pdf"/>
  </r>
  <r>
    <s v="N"/>
    <x v="54"/>
    <s v="寿险"/>
    <s v="https://www.sinosig.com/v/pilu?type=sx&amp;tabIndex=10001_39"/>
    <x v="0"/>
    <m/>
    <s v="2024年第3季度"/>
    <m/>
    <s v="2024Q3"/>
    <s v="2024"/>
    <s v="3"/>
    <s v="D:\文档\_工作相关\KPMG\CROSS II\2024Q3"/>
    <s v="阳光人寿2024Q3偿付能力季度报告摘要.pdf"/>
  </r>
  <r>
    <s v="N"/>
    <x v="55"/>
    <s v="寿险"/>
    <s v="https://www.boc-samsunglife.cn/information?code=GW528"/>
    <x v="0"/>
    <m/>
    <s v="2024年第3季度"/>
    <m/>
    <s v="2024Q3"/>
    <s v="2024"/>
    <s v="3"/>
    <s v="D:\文档\_工作相关\KPMG\CROSS II\2024Q3"/>
    <s v="中银三星2024Q3偿付能力季度报告摘要.pdf"/>
  </r>
  <r>
    <s v="N"/>
    <x v="56"/>
    <s v="寿险"/>
    <s v="https://www.hqins.cn/openInfo/information_2/Pay_info"/>
    <x v="0"/>
    <m/>
    <s v="2024年第3季度"/>
    <m/>
    <s v="2024Q3"/>
    <s v="2024"/>
    <s v="3"/>
    <s v="D:\文档\_工作相关\KPMG\CROSS II\2024Q3"/>
    <s v="横琴人寿2024Q3偿付能力季度报告摘要.pdf"/>
  </r>
  <r>
    <s v="N"/>
    <x v="57"/>
    <s v="养老"/>
    <s v="https://www.guominpension.com/informationDisclosure?id=1422449144224628737"/>
    <x v="0"/>
    <m/>
    <s v="2024年第三季度"/>
    <m/>
    <s v="2024Q3"/>
    <s v="2024"/>
    <s v="3"/>
    <s v="D:\文档\_工作相关\KPMG\CROSS II\2024Q3"/>
    <s v="国民养老2024Q3偿付能力季度报告摘要.pdf"/>
  </r>
  <r>
    <s v="N"/>
    <x v="58"/>
    <s v="健康"/>
    <s v="https://health.pingan.com/P/pubInfoDisclosure?menuName=public_information_disclosure&amp;tagId=13835058055282164003&amp;menuId=13258597302978770504&amp;secondMenuId=9223372036854806093"/>
    <x v="0"/>
    <m/>
    <s v="2024年3季度"/>
    <m/>
    <s v="2024Q3"/>
    <s v="2024"/>
    <s v="3"/>
    <s v="D:\文档\_工作相关\KPMG\CROSS II\2024Q3"/>
    <s v="平安健康2024Q3偿付能力季度报告摘要.pdf"/>
  </r>
  <r>
    <s v="N"/>
    <x v="59"/>
    <s v="寿险"/>
    <s v="https://www.haibao-life.com/gkxxpl/cfnlpl/index.shtml"/>
    <x v="0"/>
    <m/>
    <s v="2024年3季度"/>
    <m/>
    <s v="2024Q3"/>
    <s v="2024"/>
    <s v="3"/>
    <s v="D:\文档\_工作相关\KPMG\CROSS II\2024Q3"/>
    <s v="海保人寿2024Q3偿付能力季度报告摘要.pdf"/>
  </r>
  <r>
    <s v="N"/>
    <x v="60"/>
    <s v="寿险"/>
    <s v="https://www.soochowlife.net/cs/gkxxpl/zxxx/cfnl/index.html"/>
    <x v="0"/>
    <m/>
    <s v="2024年第三季度"/>
    <m/>
    <s v="2024Q3"/>
    <s v="2024"/>
    <s v="3"/>
    <s v="D:\文档\_工作相关\KPMG\CROSS II\2024Q3"/>
    <s v="东吴人寿2024Q3偿付能力季度报告摘要.pdf"/>
  </r>
  <r>
    <s v="N"/>
    <x v="61"/>
    <s v="寿险"/>
    <s v="https://www.bocommlife.com/101866/index.html"/>
    <x v="0"/>
    <s v="短时间内多次可能会下载失败"/>
    <s v="2024年第3季度"/>
    <m/>
    <s v="2024Q3"/>
    <s v="2024"/>
    <s v="3"/>
    <s v="D:\文档\_工作相关\KPMG\CROSS II\2024Q3"/>
    <s v="交银人寿2024Q3偿付能力季度报告摘要.pdf"/>
  </r>
  <r>
    <s v="N"/>
    <x v="62"/>
    <s v="寿险"/>
    <s v="https://www.abchinalife.com/xxpl/zxxx/cfnljdpl/index.shtml"/>
    <x v="0"/>
    <s v="短时间内多次可能会下载失败"/>
    <s v="2024年3季度"/>
    <m/>
    <s v="2024Q3"/>
    <s v="2024"/>
    <s v="3"/>
    <s v="D:\文档\_工作相关\KPMG\CROSS II\2024Q3"/>
    <s v="农银人寿2024Q3偿付能力季度报告摘要.pdf"/>
  </r>
  <r>
    <s v="N"/>
    <x v="63"/>
    <s v="寿险"/>
    <s v="https://www.cmrh.com/html/informationDisclosure.shtml?menuName=%E4%B8%93%E9%A1%B9%E4%BF%A1%E6%81%AF"/>
    <x v="0"/>
    <s v="短时间内多次可能会下载失败，会被ban IP"/>
    <s v="2024年第3季度"/>
    <m/>
    <s v="2024Q3"/>
    <s v="2024"/>
    <s v="3"/>
    <s v="D:\文档\_工作相关\KPMG\CROSS II\2024Q3"/>
    <s v="招商仁和2024Q3偿付能力季度报告摘要.pdf"/>
  </r>
  <r>
    <s v="N"/>
    <x v="64"/>
    <s v="寿险"/>
    <s v="https://www.sciclife.com/cfnl_pub_child/index.html"/>
    <x v="0"/>
    <s v="短时间内多次可能会下载失败，会被ban IP"/>
    <s v="2024年第3季度"/>
    <m/>
    <s v="2024Q3"/>
    <s v="2024"/>
    <s v="3"/>
    <s v="D:\文档\_工作相关\KPMG\CROSS II\2024Q3"/>
    <s v="华汇人寿2024Q3偿付能力季度报告摘要.pdf"/>
  </r>
  <r>
    <s v="N"/>
    <x v="65"/>
    <s v="寿险"/>
    <s v="https://www.cathaylife.cn/jdzybg/index.html"/>
    <x v="1"/>
    <s v="下载出错，错误信息：('Connection aborted.', RemoteDisconnected('Remote end closed connection without response'))"/>
    <s v="2024年第3季度"/>
    <m/>
    <s v="2024Q3"/>
    <s v="2024"/>
    <s v="3"/>
    <s v="D:\文档\_工作相关\KPMG\CROSS II\2024Q3"/>
    <s v="陆家嘴国泰2024Q3偿付能力季度报告摘要.pdf"/>
  </r>
  <r>
    <s v="N"/>
    <x v="66"/>
    <s v="寿险"/>
    <s v="http://www.hengansl.com/hengan/gkxxpl/zxxx/cfnl/jdbgzy/index.html"/>
    <x v="1"/>
    <s v="下载出错，错误信息：('Connection aborted.', RemoteDisconnected('Remote end closed connection without response'))"/>
    <s v="2024年第3季度"/>
    <m/>
    <s v="2024Q3"/>
    <s v="2024"/>
    <s v="3"/>
    <s v="D:\文档\_工作相关\KPMG\CROSS II\2024Q3"/>
    <s v="恒安标准2024Q3偿付能力季度报告摘要.pdf"/>
  </r>
  <r>
    <s v="N"/>
    <x v="67"/>
    <s v="寿险"/>
    <s v="https://www.tg-life.com.cn/changfunengli/89.html"/>
    <x v="1"/>
    <s v="下载出错，错误信息：HTTPSConnectionPool(host='www.tg-life.com.cn', port=443): Max retries exceeded with url: /front_statics/storage/file/content/2024/10/67219e70d9882.pdf (Caused by SSLError(SSLError(1, '[SSL: WRONG_SIGNATURE_TYPE] wrong signature type (_ssl.c:1020)')))"/>
    <s v="摘要2024年第3季度"/>
    <m/>
    <s v="2024Q3"/>
    <s v="2024"/>
    <s v="3"/>
    <s v="D:\文档\_工作相关\KPMG\CROSS II\2024Q3"/>
    <s v="三峡人寿2024Q3偿付能力季度报告摘要.pdf"/>
  </r>
  <r>
    <s v="N"/>
    <x v="68"/>
    <s v="寿险"/>
    <s v="https://www.citic-prudential.com.cn/Special/Solvency.aspx"/>
    <x v="1"/>
    <s v="response.status_code = 403 error 反爬虫机制"/>
    <s v="2024年第3季度"/>
    <m/>
    <s v="2024Q3"/>
    <s v="2024"/>
    <s v="3"/>
    <s v="D:\文档\_工作相关\KPMG\CROSS II\2024Q3"/>
    <s v="中信保诚2024Q3偿付能力季度报告摘要.pdf"/>
  </r>
  <r>
    <s v="N"/>
    <x v="69"/>
    <s v="寿险"/>
    <s v="http://www.lianlife.cc/zxxx/cfnlnew/"/>
    <x v="1"/>
    <s v="response.status_code = 404 error 反爬虫机制"/>
    <s v="2024年三季度"/>
    <m/>
    <s v="2024Q3"/>
    <s v="2024"/>
    <s v="3"/>
    <s v="D:\文档\_工作相关\KPMG\CROSS II\2024Q3"/>
    <s v="利安人寿2024Q3偿付能力季度报告摘要.pdf"/>
  </r>
  <r>
    <s v="N"/>
    <x v="70"/>
    <s v="寿险"/>
    <s v="http://www.kdlins.com.cn/info!list.action?itype=5"/>
    <x v="1"/>
    <s v="response.status_code = 418 error 反爬虫机制"/>
    <s v="2024年第三季度"/>
    <m/>
    <s v="2024Q3"/>
    <s v="2024"/>
    <s v="3"/>
    <s v="D:\文档\_工作相关\KPMG\CROSS II\2024Q3"/>
    <s v="君龙人寿2024Q3偿付能力季度报告摘要.pdf"/>
  </r>
  <r>
    <s v="N"/>
    <x v="71"/>
    <s v="寿险"/>
    <s v="https://www.aia.com.cn/zh-cn/gongkaixinxipilou/zhuanxiangxinxi/changfunengli"/>
    <x v="1"/>
    <s v="自动下载长时间无响应"/>
    <s v="2024年3季度"/>
    <m/>
    <s v="2024Q3"/>
    <s v="2024"/>
    <s v="3"/>
    <s v="D:\文档\_工作相关\KPMG\CROSS II\2024Q3"/>
    <s v="友邦人寿2024Q3偿付能力季度报告摘要.pdf"/>
  </r>
  <r>
    <s v="N"/>
    <x v="72"/>
    <s v="寿险"/>
    <s v="https://www.sinokorealife.com.cn/cfnl"/>
    <x v="1"/>
    <s v="412 error 会识别自动工具"/>
    <s v="2024年第3季度"/>
    <m/>
    <s v="2024Q3"/>
    <s v="2024"/>
    <s v="3"/>
    <s v="D:\文档\_工作相关\KPMG\CROSS II\2024Q3"/>
    <s v="中韩人寿2024Q3偿付能力季度报告摘要.pdf"/>
  </r>
  <r>
    <s v="N"/>
    <x v="73"/>
    <s v="养老"/>
    <s v="https://annuity.djbx.com/col/col469/index.html"/>
    <x v="2"/>
    <s v="418 error 您的请求疑似攻击行为！"/>
    <s v="2024年第3季度"/>
    <m/>
    <s v="2024Q3"/>
    <s v="2024"/>
    <s v="3"/>
    <s v="D:\文档\_工作相关\KPMG\CROSS II\2024Q3"/>
    <s v="大家养老2024Q3偿付能力季度报告摘要.pdf"/>
  </r>
  <r>
    <s v="N"/>
    <x v="74"/>
    <s v="寿险"/>
    <s v="https://life.cntaiping.com/info-cfnlzy/"/>
    <x v="2"/>
    <s v="无法检查网页元素"/>
    <m/>
    <m/>
    <s v="2024Q3"/>
    <s v="2024"/>
    <s v="3"/>
    <s v="D:\文档\_工作相关\KPMG\CROSS II\2024Q3"/>
    <s v="太平人寿2024Q3偿付能力季度报告摘要.pdf"/>
  </r>
  <r>
    <s v="N"/>
    <x v="75"/>
    <s v="养老"/>
    <s v="https://tppension.cntaiping.com/info-ylcfnlbg/"/>
    <x v="2"/>
    <s v="无法检查网页元素"/>
    <m/>
    <m/>
    <s v="2024Q3"/>
    <s v="2024"/>
    <s v="3"/>
    <s v="D:\文档\_工作相关\KPMG\CROSS II\2024Q3"/>
    <s v="太平养老2024Q3偿付能力季度报告摘要.pdf"/>
  </r>
  <r>
    <s v="N"/>
    <x v="76"/>
    <s v="寿险"/>
    <s v="https://www.unionlife.com.cn/union/gkxxpl/zxxx/index.html"/>
    <x v="3"/>
    <s v="只更新到2024Q2"/>
    <s v="2024年2季度"/>
    <m/>
    <s v="2024Q3"/>
    <s v="2024"/>
    <s v="3"/>
    <s v="D:\文档\_工作相关\KPMG\CROSS II\2024Q3"/>
    <s v="合众人寿2024Q3偿付能力季度报告摘要.pdf"/>
  </r>
  <r>
    <s v="N"/>
    <x v="77"/>
    <s v="寿险"/>
    <s v="https://www.aeonlife.com.cn/info/solvency/index.shtml#info_list"/>
    <x v="3"/>
    <s v="只更新到2023Q1"/>
    <s v="2023年第1季度"/>
    <m/>
    <s v="2024Q3"/>
    <s v="2024"/>
    <s v="3"/>
    <s v="D:\文档\_工作相关\KPMG\CROSS II\2024Q3"/>
    <s v="百年人寿2024Q3偿付能力季度报告摘要.pdf"/>
  </r>
  <r>
    <s v="N"/>
    <x v="78"/>
    <s v="寿险"/>
    <s v="http://www.bohailife.net/zxxx/changfunengli/index.shtml"/>
    <x v="3"/>
    <s v="只更新到2023Q4"/>
    <s v="2023年第4季度"/>
    <m/>
    <s v="2024Q3"/>
    <s v="2024"/>
    <s v="3"/>
    <s v="D:\文档\_工作相关\KPMG\CROSS II\2024Q3"/>
    <s v="渤海人寿2024Q3偿付能力季度报告摘要.pdf"/>
  </r>
  <r>
    <s v="N"/>
    <x v="79"/>
    <s v="寿险"/>
    <s v="https://life.djbx.com/col/col180/index.html"/>
    <x v="3"/>
    <s v="未披露偿付能力"/>
    <m/>
    <m/>
    <s v="2024Q3"/>
    <s v="2024"/>
    <s v="3"/>
    <s v="D:\文档\_工作相关\KPMG\CROSS II\2024Q3"/>
    <s v="大家人寿2024Q3偿付能力季度报告摘要.pdf"/>
  </r>
  <r>
    <s v="N"/>
    <x v="80"/>
    <s v="寿险"/>
    <s v="https://www.sino-life.com/publicinfo/"/>
    <x v="3"/>
    <s v="只更新到2021Q4"/>
    <s v="2021年第4季度"/>
    <m/>
    <s v="2024Q3"/>
    <s v="2024"/>
    <s v="3"/>
    <s v="D:\文档\_工作相关\KPMG\CROSS II\2024Q3"/>
    <s v="富德生命2024Q3偿付能力季度报告摘要.pdf"/>
  </r>
  <r>
    <s v="N"/>
    <x v="81"/>
    <s v="寿险"/>
    <s v="https://www.ruiinsurance.com/information/special/solvency/index.html?v=1,732,786,471,236"/>
    <x v="3"/>
    <s v="改名瑞众，未披露"/>
    <m/>
    <m/>
    <s v="2024Q3"/>
    <s v="2024"/>
    <s v="3"/>
    <s v="D:\文档\_工作相关\KPMG\CROSS II\2024Q3"/>
    <s v="华夏人寿2024Q3偿付能力季度报告摘要.pdf"/>
  </r>
  <r>
    <s v="N"/>
    <x v="82"/>
    <s v="寿险"/>
    <s v="https://www.evergrandelife.com.cn/channel/10959.html"/>
    <x v="3"/>
    <s v="只更新到2021Q3"/>
    <m/>
    <m/>
    <s v="2024Q3"/>
    <s v="2024"/>
    <s v="3"/>
    <s v="D:\文档\_工作相关\KPMG\CROSS II\2024Q3"/>
    <s v="恒大人寿2024Q3偿付能力季度报告摘要.pdf"/>
  </r>
  <r>
    <s v="N"/>
    <x v="83"/>
    <s v="寿险"/>
    <s v="https://www.jklife.com/views/special/specialSolvency.html"/>
    <x v="3"/>
    <s v="只更新到2020Q3"/>
    <m/>
    <m/>
    <s v="2024Q3"/>
    <s v="2024"/>
    <s v="3"/>
    <s v="D:\文档\_工作相关\KPMG\CROSS II\2024Q3"/>
    <s v="君康人寿2024Q3偿付能力季度报告摘要.pdf"/>
  </r>
  <r>
    <s v="N"/>
    <x v="84"/>
    <s v="寿险"/>
    <s v="https://www.foresealife.com/publicInfo.html"/>
    <x v="3"/>
    <s v="只更新到2022"/>
    <m/>
    <m/>
    <s v="2024Q3"/>
    <s v="2024"/>
    <s v="3"/>
    <s v="D:\文档\_工作相关\KPMG\CROSS II\2024Q3"/>
    <s v="前海人寿2024Q3偿付能力季度报告摘要.pdf"/>
  </r>
  <r>
    <s v="N"/>
    <x v="85"/>
    <s v="寿险"/>
    <s v="https://www.shanghailife.com.cn/infoManagement/13?mold=3&amp;status=3"/>
    <x v="3"/>
    <s v="只更新到2021Q4"/>
    <m/>
    <m/>
    <s v="2024Q3"/>
    <s v="2024"/>
    <s v="3"/>
    <s v="D:\文档\_工作相关\KPMG\CROSS II\2024Q3"/>
    <s v="上海人寿2024Q3偿付能力季度报告摘要.pdf"/>
  </r>
  <r>
    <s v="N"/>
    <x v="86"/>
    <s v="寿险"/>
    <s v="https://www.tianan-life.com/toGongKaiXinXiPiLu"/>
    <x v="3"/>
    <s v="只更新到2020Q1"/>
    <m/>
    <m/>
    <s v="2024Q3"/>
    <s v="2024"/>
    <s v="3"/>
    <s v="D:\文档\_工作相关\KPMG\CROSS II\2024Q3"/>
    <s v="天安人寿2024Q3偿付能力季度报告摘要.pdf"/>
  </r>
  <r>
    <s v="N"/>
    <x v="87"/>
    <s v="寿险"/>
    <s v="http://www.zhongronglife.com/html/1//178/172/index.html"/>
    <x v="3"/>
    <s v="只更新到2021Q3"/>
    <m/>
    <m/>
    <s v="2024Q3"/>
    <s v="2024"/>
    <s v="3"/>
    <s v="D:\文档\_工作相关\KPMG\CROSS II\2024Q3"/>
    <s v="中融人寿2024Q3偿付能力季度报告摘要.pdf"/>
  </r>
  <r>
    <s v="N"/>
    <x v="88"/>
    <s v="寿险"/>
    <s v="https://www.prlife.com.cn/page/message/message_main.shtml"/>
    <x v="3"/>
    <s v="只更新到2021Q4"/>
    <m/>
    <m/>
    <s v="2024Q3"/>
    <s v="2024"/>
    <s v="3"/>
    <s v="D:\文档\_工作相关\KPMG\CROSS II\2024Q3"/>
    <s v="珠江人寿2024Q3偿付能力季度报告摘要.pdf"/>
  </r>
  <r>
    <s v="N"/>
    <x v="89"/>
    <s v="养老"/>
    <s v="https://www.cj-pension.com.cn/cjyl/CN/xxgk/qyjbxx/"/>
    <x v="3"/>
    <s v="只是企业年金，不涉及保险，不需要披露偿付能力"/>
    <m/>
    <m/>
    <s v="2024Q3"/>
    <s v="2024"/>
    <s v="3"/>
    <s v="D:\文档\_工作相关\KPMG\CROSS II\2024Q3"/>
    <s v="长江养老2024Q3偿付能力季度报告摘要.pdf"/>
  </r>
  <r>
    <s v="N"/>
    <x v="90"/>
    <s v="健康"/>
    <s v="https://www.hexiehealth.com/gkxxpl/zxxx/cfnl1/index.htm"/>
    <x v="3"/>
    <s v="只更新到2017Q1"/>
    <m/>
    <m/>
    <s v="2024Q3"/>
    <s v="2024"/>
    <s v="3"/>
    <s v="D:\文档\_工作相关\KPMG\CROSS II\2024Q3"/>
    <s v="和谐健康2024Q3偿付能力季度报告摘要.pdf"/>
  </r>
  <r>
    <s v="N"/>
    <x v="91"/>
    <s v="健康"/>
    <s v="https://www.kunlunhealth.com.cn/cms/disclosure/list?sItem=otherInfo1&amp;&amp;type=PCSolvencyDisclosure"/>
    <x v="3"/>
    <s v="只更新到2021Q4"/>
    <m/>
    <m/>
    <s v="2024Q3"/>
    <s v="2024"/>
    <s v="3"/>
    <s v="D:\文档\_工作相关\KPMG\CROSS II\2024Q3"/>
    <s v="昆仑健康2024Q3偿付能力季度报告摘要.pd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27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B8" firstHeaderRow="1" firstDataRow="1" firstDataCol="1"/>
  <pivotFields count="13">
    <pivotField showAll="0"/>
    <pivotField dataField="1" showAll="0">
      <items count="93">
        <item x="33"/>
        <item x="25"/>
        <item x="77"/>
        <item x="35"/>
        <item x="26"/>
        <item x="78"/>
        <item x="23"/>
        <item x="79"/>
        <item x="73"/>
        <item x="53"/>
        <item x="42"/>
        <item x="60"/>
        <item x="31"/>
        <item x="27"/>
        <item x="80"/>
        <item x="8"/>
        <item x="19"/>
        <item x="37"/>
        <item x="39"/>
        <item x="9"/>
        <item x="28"/>
        <item x="57"/>
        <item x="47"/>
        <item x="59"/>
        <item x="76"/>
        <item x="38"/>
        <item x="90"/>
        <item x="66"/>
        <item x="51"/>
        <item x="82"/>
        <item x="56"/>
        <item x="52"/>
        <item x="40"/>
        <item x="64"/>
        <item x="24"/>
        <item x="81"/>
        <item x="32"/>
        <item x="11"/>
        <item x="61"/>
        <item x="83"/>
        <item x="70"/>
        <item x="91"/>
        <item x="69"/>
        <item x="65"/>
        <item x="12"/>
        <item x="62"/>
        <item x="58"/>
        <item x="0"/>
        <item x="44"/>
        <item x="84"/>
        <item x="43"/>
        <item x="6"/>
        <item x="49"/>
        <item x="50"/>
        <item x="36"/>
        <item x="67"/>
        <item x="85"/>
        <item x="45"/>
        <item x="3"/>
        <item x="74"/>
        <item x="75"/>
        <item x="5"/>
        <item x="46"/>
        <item x="86"/>
        <item x="21"/>
        <item x="34"/>
        <item x="2"/>
        <item x="48"/>
        <item x="29"/>
        <item x="10"/>
        <item x="18"/>
        <item x="54"/>
        <item x="20"/>
        <item x="71"/>
        <item x="17"/>
        <item x="89"/>
        <item x="41"/>
        <item x="63"/>
        <item x="4"/>
        <item x="1"/>
        <item x="72"/>
        <item x="22"/>
        <item x="13"/>
        <item x="30"/>
        <item x="15"/>
        <item x="87"/>
        <item x="68"/>
        <item x="16"/>
        <item x="55"/>
        <item x="14"/>
        <item x="7"/>
        <item x="88"/>
        <item t="default"/>
      </items>
    </pivotField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计数项:公司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lpc.com.cn/chinalifepension/gkxxpl/zxxx/cfnl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"/>
  <sheetViews>
    <sheetView workbookViewId="0">
      <selection activeCell="C15" sqref="C15"/>
    </sheetView>
  </sheetViews>
  <sheetFormatPr defaultRowHeight="14" x14ac:dyDescent="0.25"/>
  <cols>
    <col min="1" max="1" width="35.1796875" bestFit="1" customWidth="1"/>
    <col min="2" max="2" width="13.08984375" customWidth="1"/>
    <col min="3" max="13" width="9.6328125" bestFit="1" customWidth="1"/>
    <col min="14" max="14" width="11.90625" bestFit="1" customWidth="1"/>
    <col min="15" max="29" width="9.6328125" bestFit="1" customWidth="1"/>
    <col min="30" max="30" width="14.08984375" bestFit="1" customWidth="1"/>
    <col min="31" max="44" width="9.6328125" bestFit="1" customWidth="1"/>
    <col min="45" max="45" width="11.90625" bestFit="1" customWidth="1"/>
    <col min="46" max="93" width="9.6328125" bestFit="1" customWidth="1"/>
    <col min="94" max="94" width="5.453125" customWidth="1"/>
  </cols>
  <sheetData>
    <row r="3" spans="1:2" x14ac:dyDescent="0.25">
      <c r="A3" s="7" t="s">
        <v>168</v>
      </c>
      <c r="B3" t="s">
        <v>174</v>
      </c>
    </row>
    <row r="4" spans="1:2" x14ac:dyDescent="0.25">
      <c r="A4" s="8" t="s">
        <v>169</v>
      </c>
      <c r="B4">
        <v>65</v>
      </c>
    </row>
    <row r="5" spans="1:2" x14ac:dyDescent="0.25">
      <c r="A5" s="8" t="s">
        <v>171</v>
      </c>
      <c r="B5">
        <v>3</v>
      </c>
    </row>
    <row r="6" spans="1:2" x14ac:dyDescent="0.25">
      <c r="A6" s="8" t="s">
        <v>172</v>
      </c>
      <c r="B6">
        <v>8</v>
      </c>
    </row>
    <row r="7" spans="1:2" x14ac:dyDescent="0.25">
      <c r="A7" s="8" t="s">
        <v>170</v>
      </c>
      <c r="B7">
        <v>16</v>
      </c>
    </row>
    <row r="8" spans="1:2" x14ac:dyDescent="0.25">
      <c r="A8" s="8" t="s">
        <v>173</v>
      </c>
      <c r="B8">
        <v>92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3"/>
  <sheetViews>
    <sheetView tabSelected="1" topLeftCell="A229" workbookViewId="0">
      <selection activeCell="A2" sqref="A2:A93"/>
    </sheetView>
  </sheetViews>
  <sheetFormatPr defaultRowHeight="14" x14ac:dyDescent="0.25"/>
  <cols>
    <col min="4" max="4" width="70.7265625" bestFit="1" customWidth="1"/>
    <col min="5" max="5" width="16.54296875" customWidth="1"/>
    <col min="6" max="6" width="26.54296875" bestFit="1" customWidth="1"/>
    <col min="7" max="7" width="37.26953125" bestFit="1" customWidth="1"/>
    <col min="8" max="8" width="44.26953125" customWidth="1"/>
    <col min="12" max="13" width="41.6328125" bestFit="1" customWidth="1"/>
  </cols>
  <sheetData>
    <row r="1" spans="1:13" x14ac:dyDescent="0.25">
      <c r="A1" s="1" t="s">
        <v>11</v>
      </c>
      <c r="B1" s="1" t="s">
        <v>0</v>
      </c>
      <c r="C1" s="1" t="s">
        <v>185</v>
      </c>
      <c r="D1" s="1" t="s">
        <v>1</v>
      </c>
      <c r="E1" s="1" t="s">
        <v>162</v>
      </c>
      <c r="F1" s="3" t="s">
        <v>93</v>
      </c>
      <c r="G1" s="1" t="s">
        <v>2</v>
      </c>
      <c r="H1" s="1" t="s">
        <v>177</v>
      </c>
      <c r="I1" s="3" t="s">
        <v>9</v>
      </c>
      <c r="J1" s="3" t="s">
        <v>101</v>
      </c>
      <c r="K1" s="3" t="s">
        <v>102</v>
      </c>
      <c r="L1" s="1" t="s">
        <v>3</v>
      </c>
      <c r="M1" s="1" t="s">
        <v>4</v>
      </c>
    </row>
    <row r="2" spans="1:13" x14ac:dyDescent="0.25">
      <c r="A2" t="s">
        <v>253</v>
      </c>
      <c r="B2" t="s">
        <v>12</v>
      </c>
      <c r="C2" t="s">
        <v>182</v>
      </c>
      <c r="D2" t="s">
        <v>145</v>
      </c>
      <c r="E2" t="s">
        <v>163</v>
      </c>
      <c r="F2" s="5"/>
      <c r="G2" s="2" t="str">
        <f>$J2&amp;"年第"&amp;$K2&amp;"季度"</f>
        <v>2025年第2季度</v>
      </c>
      <c r="H2" s="2"/>
      <c r="I2" s="2" t="s">
        <v>255</v>
      </c>
      <c r="J2" t="str">
        <f t="shared" ref="J2:J33" si="0">LEFT(I2,4)</f>
        <v>2025</v>
      </c>
      <c r="K2" t="str">
        <f t="shared" ref="K2:K33" si="1">RIGHT(I2,1)</f>
        <v>2</v>
      </c>
      <c r="L2" t="str">
        <f>"D:\文档\_工作相关\KPMG\CROSS II\"&amp;I2</f>
        <v>D:\文档\_工作相关\KPMG\CROSS II\2025Q2</v>
      </c>
      <c r="M2" t="str">
        <f t="shared" ref="M2:M33" si="2">B2&amp;I2&amp;"偿付能力季度报告摘要.pdf"</f>
        <v>平安寿险2025Q2偿付能力季度报告摘要.pdf</v>
      </c>
    </row>
    <row r="3" spans="1:13" x14ac:dyDescent="0.25">
      <c r="A3" t="s">
        <v>101</v>
      </c>
      <c r="B3" t="s">
        <v>155</v>
      </c>
      <c r="C3" t="s">
        <v>181</v>
      </c>
      <c r="D3" t="s">
        <v>156</v>
      </c>
      <c r="E3" t="s">
        <v>163</v>
      </c>
      <c r="F3" s="5"/>
      <c r="G3" s="2" t="str">
        <f>$J3&amp;"年"&amp;$K3&amp;"季度"</f>
        <v>2025年2季度</v>
      </c>
      <c r="H3" s="2"/>
      <c r="I3" s="2" t="s">
        <v>255</v>
      </c>
      <c r="J3" t="str">
        <f t="shared" si="0"/>
        <v>2025</v>
      </c>
      <c r="K3" t="str">
        <f t="shared" si="1"/>
        <v>2</v>
      </c>
      <c r="L3" t="str">
        <f t="shared" ref="L3:L34" si="3">$L$2</f>
        <v>D:\文档\_工作相关\KPMG\CROSS II\2025Q2</v>
      </c>
      <c r="M3" t="str">
        <f t="shared" si="2"/>
        <v>中国人寿2025Q2偿付能力季度报告摘要.pdf</v>
      </c>
    </row>
    <row r="4" spans="1:13" x14ac:dyDescent="0.25">
      <c r="A4" t="s">
        <v>101</v>
      </c>
      <c r="B4" t="s">
        <v>13</v>
      </c>
      <c r="C4" t="s">
        <v>181</v>
      </c>
      <c r="D4" t="s">
        <v>5</v>
      </c>
      <c r="E4" t="s">
        <v>163</v>
      </c>
      <c r="F4" s="5"/>
      <c r="G4" s="2" t="str">
        <f>$J4&amp;"年第"&amp;CHOOSE($K4,"一","二","三","四")&amp;"季度"</f>
        <v>2025年第二季度</v>
      </c>
      <c r="H4" s="2"/>
      <c r="I4" s="2" t="s">
        <v>254</v>
      </c>
      <c r="J4" t="str">
        <f t="shared" si="0"/>
        <v>2025</v>
      </c>
      <c r="K4" t="str">
        <f t="shared" si="1"/>
        <v>2</v>
      </c>
      <c r="L4" t="str">
        <f t="shared" si="3"/>
        <v>D:\文档\_工作相关\KPMG\CROSS II\2025Q2</v>
      </c>
      <c r="M4" t="str">
        <f t="shared" si="2"/>
        <v>新华保险2025Q2偿付能力季度报告摘要.pdf</v>
      </c>
    </row>
    <row r="5" spans="1:13" x14ac:dyDescent="0.25">
      <c r="A5" t="s">
        <v>101</v>
      </c>
      <c r="B5" t="s">
        <v>14</v>
      </c>
      <c r="C5" t="s">
        <v>181</v>
      </c>
      <c r="D5" t="s">
        <v>6</v>
      </c>
      <c r="E5" t="s">
        <v>163</v>
      </c>
      <c r="F5" s="5"/>
      <c r="G5" s="2" t="str">
        <f>$J5&amp;"年第"&amp;$K5&amp;"季度"</f>
        <v>2025年第2季度</v>
      </c>
      <c r="H5" s="2"/>
      <c r="I5" s="2" t="s">
        <v>254</v>
      </c>
      <c r="J5" t="str">
        <f t="shared" si="0"/>
        <v>2025</v>
      </c>
      <c r="K5" t="str">
        <f t="shared" si="1"/>
        <v>2</v>
      </c>
      <c r="L5" t="str">
        <f t="shared" si="3"/>
        <v>D:\文档\_工作相关\KPMG\CROSS II\2025Q2</v>
      </c>
      <c r="M5" t="str">
        <f t="shared" si="2"/>
        <v>太保寿险2025Q2偿付能力季度报告摘要.pdf</v>
      </c>
    </row>
    <row r="6" spans="1:13" x14ac:dyDescent="0.25">
      <c r="A6" t="s">
        <v>101</v>
      </c>
      <c r="B6" t="s">
        <v>7</v>
      </c>
      <c r="C6" t="s">
        <v>181</v>
      </c>
      <c r="D6" t="s">
        <v>8</v>
      </c>
      <c r="E6" t="s">
        <v>163</v>
      </c>
      <c r="F6" s="5"/>
      <c r="G6" s="2" t="str">
        <f>$J6&amp;"年第"&amp;$K6&amp;"季度"</f>
        <v>2025年第2季度</v>
      </c>
      <c r="H6" s="2"/>
      <c r="I6" s="2" t="s">
        <v>254</v>
      </c>
      <c r="J6" t="str">
        <f t="shared" si="0"/>
        <v>2025</v>
      </c>
      <c r="K6" t="str">
        <f t="shared" si="1"/>
        <v>2</v>
      </c>
      <c r="L6" t="str">
        <f t="shared" si="3"/>
        <v>D:\文档\_工作相关\KPMG\CROSS II\2025Q2</v>
      </c>
      <c r="M6" t="str">
        <f t="shared" si="2"/>
        <v>招商信诺2025Q2偿付能力季度报告摘要.pdf</v>
      </c>
    </row>
    <row r="7" spans="1:13" x14ac:dyDescent="0.25">
      <c r="A7" t="s">
        <v>101</v>
      </c>
      <c r="B7" t="s">
        <v>16</v>
      </c>
      <c r="C7" t="s">
        <v>181</v>
      </c>
      <c r="D7" t="s">
        <v>42</v>
      </c>
      <c r="E7" t="s">
        <v>163</v>
      </c>
      <c r="F7" s="5"/>
      <c r="G7" s="2" t="str">
        <f>$J7&amp;"年第"&amp;$K7&amp;"季度"</f>
        <v>2025年第2季度</v>
      </c>
      <c r="H7" s="2"/>
      <c r="I7" s="2" t="s">
        <v>254</v>
      </c>
      <c r="J7" t="str">
        <f t="shared" si="0"/>
        <v>2025</v>
      </c>
      <c r="K7" t="str">
        <f t="shared" si="1"/>
        <v>2</v>
      </c>
      <c r="L7" t="str">
        <f t="shared" si="3"/>
        <v>D:\文档\_工作相关\KPMG\CROSS II\2025Q2</v>
      </c>
      <c r="M7" t="str">
        <f t="shared" si="2"/>
        <v>泰康人寿2025Q2偿付能力季度报告摘要.pdf</v>
      </c>
    </row>
    <row r="8" spans="1:13" x14ac:dyDescent="0.25">
      <c r="A8" t="s">
        <v>101</v>
      </c>
      <c r="B8" t="s">
        <v>17</v>
      </c>
      <c r="C8" t="s">
        <v>181</v>
      </c>
      <c r="D8" t="s">
        <v>186</v>
      </c>
      <c r="E8" t="s">
        <v>163</v>
      </c>
      <c r="F8" s="5"/>
      <c r="G8" s="2" t="str">
        <f>$J8&amp;"年第"&amp;$K8&amp;"季度"</f>
        <v>2025年第2季度</v>
      </c>
      <c r="H8" s="4"/>
      <c r="I8" s="2" t="s">
        <v>254</v>
      </c>
      <c r="J8" t="str">
        <f t="shared" si="0"/>
        <v>2025</v>
      </c>
      <c r="K8" t="str">
        <f t="shared" si="1"/>
        <v>2</v>
      </c>
      <c r="L8" t="str">
        <f t="shared" si="3"/>
        <v>D:\文档\_工作相关\KPMG\CROSS II\2025Q2</v>
      </c>
      <c r="M8" t="str">
        <f t="shared" si="2"/>
        <v>人保寿险2025Q2偿付能力季度报告摘要.pdf</v>
      </c>
    </row>
    <row r="9" spans="1:13" x14ac:dyDescent="0.25">
      <c r="A9" t="s">
        <v>101</v>
      </c>
      <c r="B9" t="s">
        <v>18</v>
      </c>
      <c r="C9" t="s">
        <v>181</v>
      </c>
      <c r="D9" t="s">
        <v>44</v>
      </c>
      <c r="E9" t="s">
        <v>163</v>
      </c>
      <c r="F9" s="5"/>
      <c r="G9" s="2" t="s">
        <v>103</v>
      </c>
      <c r="H9" s="2"/>
      <c r="I9" s="2" t="s">
        <v>254</v>
      </c>
      <c r="J9" t="str">
        <f t="shared" si="0"/>
        <v>2025</v>
      </c>
      <c r="K9" t="str">
        <f t="shared" si="1"/>
        <v>2</v>
      </c>
      <c r="L9" t="str">
        <f t="shared" si="3"/>
        <v>D:\文档\_工作相关\KPMG\CROSS II\2025Q2</v>
      </c>
      <c r="M9" t="str">
        <f t="shared" si="2"/>
        <v>中邮人寿2025Q2偿付能力季度报告摘要.pdf</v>
      </c>
    </row>
    <row r="10" spans="1:13" x14ac:dyDescent="0.25">
      <c r="A10" t="s">
        <v>101</v>
      </c>
      <c r="B10" t="s">
        <v>19</v>
      </c>
      <c r="C10" t="s">
        <v>181</v>
      </c>
      <c r="D10" t="s">
        <v>45</v>
      </c>
      <c r="E10" t="s">
        <v>163</v>
      </c>
      <c r="F10" s="5"/>
      <c r="G10" s="2" t="str">
        <f>$J10&amp;"年第"&amp;CHOOSE($K10,"一","二","三","四")&amp;"季度"</f>
        <v>2025年第二季度</v>
      </c>
      <c r="H10" s="2"/>
      <c r="I10" s="2" t="s">
        <v>254</v>
      </c>
      <c r="J10" t="str">
        <f t="shared" si="0"/>
        <v>2025</v>
      </c>
      <c r="K10" t="str">
        <f t="shared" si="1"/>
        <v>2</v>
      </c>
      <c r="L10" t="str">
        <f t="shared" si="3"/>
        <v>D:\文档\_工作相关\KPMG\CROSS II\2025Q2</v>
      </c>
      <c r="M10" t="str">
        <f t="shared" si="2"/>
        <v>工银安盛2025Q2偿付能力季度报告摘要.pdf</v>
      </c>
    </row>
    <row r="11" spans="1:13" x14ac:dyDescent="0.25">
      <c r="A11" t="s">
        <v>101</v>
      </c>
      <c r="B11" t="s">
        <v>20</v>
      </c>
      <c r="C11" t="s">
        <v>181</v>
      </c>
      <c r="D11" t="s">
        <v>47</v>
      </c>
      <c r="E11" t="s">
        <v>163</v>
      </c>
      <c r="F11" s="5"/>
      <c r="G11" s="2" t="str">
        <f>$J11&amp;"年"&amp;$K11&amp;"季度"</f>
        <v>2025年2季度</v>
      </c>
      <c r="H11" s="2"/>
      <c r="I11" s="2" t="s">
        <v>254</v>
      </c>
      <c r="J11" t="str">
        <f t="shared" si="0"/>
        <v>2025</v>
      </c>
      <c r="K11" t="str">
        <f t="shared" si="1"/>
        <v>2</v>
      </c>
      <c r="L11" t="str">
        <f t="shared" si="3"/>
        <v>D:\文档\_工作相关\KPMG\CROSS II\2025Q2</v>
      </c>
      <c r="M11" t="str">
        <f t="shared" si="2"/>
        <v>国华人寿2025Q2偿付能力季度报告摘要.pdf</v>
      </c>
    </row>
    <row r="12" spans="1:13" x14ac:dyDescent="0.25">
      <c r="A12" t="s">
        <v>101</v>
      </c>
      <c r="B12" t="s">
        <v>21</v>
      </c>
      <c r="C12" t="s">
        <v>181</v>
      </c>
      <c r="D12" t="s">
        <v>48</v>
      </c>
      <c r="E12" t="s">
        <v>163</v>
      </c>
      <c r="F12" s="5"/>
      <c r="G12" s="2" t="str">
        <f>$J12&amp;"年第"&amp;$K12&amp;"季度"</f>
        <v>2025年第2季度</v>
      </c>
      <c r="H12" s="2"/>
      <c r="I12" s="2" t="s">
        <v>254</v>
      </c>
      <c r="J12" t="str">
        <f t="shared" si="0"/>
        <v>2025</v>
      </c>
      <c r="K12" t="str">
        <f t="shared" si="1"/>
        <v>2</v>
      </c>
      <c r="L12" t="str">
        <f t="shared" si="3"/>
        <v>D:\文档\_工作相关\KPMG\CROSS II\2025Q2</v>
      </c>
      <c r="M12" t="str">
        <f t="shared" si="2"/>
        <v>信泰人寿2025Q2偿付能力季度报告摘要.pdf</v>
      </c>
    </row>
    <row r="13" spans="1:13" x14ac:dyDescent="0.25">
      <c r="A13" t="s">
        <v>101</v>
      </c>
      <c r="B13" t="s">
        <v>22</v>
      </c>
      <c r="C13" t="s">
        <v>181</v>
      </c>
      <c r="D13" t="s">
        <v>49</v>
      </c>
      <c r="E13" t="s">
        <v>163</v>
      </c>
      <c r="F13" s="5"/>
      <c r="G13" s="2" t="str">
        <f>$J13&amp;"年第"&amp;$K13&amp;"季度"</f>
        <v>2025年第2季度</v>
      </c>
      <c r="H13" s="2"/>
      <c r="I13" s="2" t="s">
        <v>254</v>
      </c>
      <c r="J13" t="str">
        <f t="shared" si="0"/>
        <v>2025</v>
      </c>
      <c r="K13" t="str">
        <f t="shared" si="1"/>
        <v>2</v>
      </c>
      <c r="L13" t="str">
        <f t="shared" si="3"/>
        <v>D:\文档\_工作相关\KPMG\CROSS II\2025Q2</v>
      </c>
      <c r="M13" t="str">
        <f t="shared" si="2"/>
        <v>建信人寿2025Q2偿付能力季度报告摘要.pdf</v>
      </c>
    </row>
    <row r="14" spans="1:13" x14ac:dyDescent="0.25">
      <c r="A14" t="s">
        <v>101</v>
      </c>
      <c r="B14" t="s">
        <v>23</v>
      </c>
      <c r="C14" t="s">
        <v>181</v>
      </c>
      <c r="D14" t="s">
        <v>50</v>
      </c>
      <c r="E14" t="s">
        <v>163</v>
      </c>
      <c r="F14" s="5"/>
      <c r="G14" s="2" t="str">
        <f>$J14&amp;"年"&amp;$K14&amp;"季度"</f>
        <v>2025年2季度</v>
      </c>
      <c r="H14" s="2"/>
      <c r="I14" s="2" t="s">
        <v>254</v>
      </c>
      <c r="J14" t="str">
        <f t="shared" si="0"/>
        <v>2025</v>
      </c>
      <c r="K14" t="str">
        <f t="shared" si="1"/>
        <v>2</v>
      </c>
      <c r="L14" t="str">
        <f t="shared" si="3"/>
        <v>D:\文档\_工作相关\KPMG\CROSS II\2025Q2</v>
      </c>
      <c r="M14" t="str">
        <f t="shared" si="2"/>
        <v>民生人寿2025Q2偿付能力季度报告摘要.pdf</v>
      </c>
    </row>
    <row r="15" spans="1:13" x14ac:dyDescent="0.25">
      <c r="A15" t="s">
        <v>101</v>
      </c>
      <c r="B15" t="s">
        <v>24</v>
      </c>
      <c r="C15" t="s">
        <v>181</v>
      </c>
      <c r="D15" t="s">
        <v>51</v>
      </c>
      <c r="E15" t="s">
        <v>163</v>
      </c>
      <c r="F15" s="5"/>
      <c r="G15" s="2" t="str">
        <f>$I$2</f>
        <v>2025Q2</v>
      </c>
      <c r="H15" s="2"/>
      <c r="I15" s="2" t="s">
        <v>254</v>
      </c>
      <c r="J15" t="str">
        <f t="shared" si="0"/>
        <v>2025</v>
      </c>
      <c r="K15" t="str">
        <f t="shared" si="1"/>
        <v>2</v>
      </c>
      <c r="L15" t="str">
        <f t="shared" si="3"/>
        <v>D:\文档\_工作相关\KPMG\CROSS II\2025Q2</v>
      </c>
      <c r="M15" t="str">
        <f t="shared" si="2"/>
        <v>中宏人寿2025Q2偿付能力季度报告摘要.pdf</v>
      </c>
    </row>
    <row r="16" spans="1:13" x14ac:dyDescent="0.25">
      <c r="A16" t="s">
        <v>101</v>
      </c>
      <c r="B16" t="s">
        <v>25</v>
      </c>
      <c r="C16" t="s">
        <v>181</v>
      </c>
      <c r="D16" t="s">
        <v>52</v>
      </c>
      <c r="E16" t="s">
        <v>163</v>
      </c>
      <c r="F16" s="5"/>
      <c r="G16" s="2" t="str">
        <f>$J16&amp;"年第"&amp;$K16&amp;"季度"</f>
        <v>2025年第2季度</v>
      </c>
      <c r="H16" s="2"/>
      <c r="I16" s="2" t="s">
        <v>254</v>
      </c>
      <c r="J16" t="str">
        <f t="shared" si="0"/>
        <v>2025</v>
      </c>
      <c r="K16" t="str">
        <f t="shared" si="1"/>
        <v>2</v>
      </c>
      <c r="L16" t="str">
        <f t="shared" si="3"/>
        <v>D:\文档\_工作相关\KPMG\CROSS II\2025Q2</v>
      </c>
      <c r="M16" t="str">
        <f t="shared" si="2"/>
        <v>中英人寿2025Q2偿付能力季度报告摘要.pdf</v>
      </c>
    </row>
    <row r="17" spans="1:13" x14ac:dyDescent="0.25">
      <c r="A17" t="s">
        <v>101</v>
      </c>
      <c r="B17" t="s">
        <v>26</v>
      </c>
      <c r="C17" t="s">
        <v>181</v>
      </c>
      <c r="D17" t="s">
        <v>104</v>
      </c>
      <c r="E17" t="s">
        <v>163</v>
      </c>
      <c r="F17" s="5"/>
      <c r="G17" s="2" t="str">
        <f>$J17&amp;"年"&amp;$K17&amp;"季度"</f>
        <v>2025年2季度</v>
      </c>
      <c r="H17" s="2"/>
      <c r="I17" s="2" t="s">
        <v>254</v>
      </c>
      <c r="J17" t="str">
        <f t="shared" si="0"/>
        <v>2025</v>
      </c>
      <c r="K17" t="str">
        <f t="shared" si="1"/>
        <v>2</v>
      </c>
      <c r="L17" t="str">
        <f t="shared" si="3"/>
        <v>D:\文档\_工作相关\KPMG\CROSS II\2025Q2</v>
      </c>
      <c r="M17" t="str">
        <f t="shared" si="2"/>
        <v>中美联泰2025Q2偿付能力季度报告摘要.pdf</v>
      </c>
    </row>
    <row r="18" spans="1:13" x14ac:dyDescent="0.25">
      <c r="A18" t="s">
        <v>101</v>
      </c>
      <c r="B18" t="s">
        <v>27</v>
      </c>
      <c r="C18" t="s">
        <v>181</v>
      </c>
      <c r="D18" t="s">
        <v>55</v>
      </c>
      <c r="E18" t="s">
        <v>163</v>
      </c>
      <c r="F18" s="5"/>
      <c r="G18" s="2" t="str">
        <f>$J18&amp;"年第"&amp;$K18&amp;"季度"</f>
        <v>2025年第2季度</v>
      </c>
      <c r="H18" s="2"/>
      <c r="I18" s="2" t="s">
        <v>254</v>
      </c>
      <c r="J18" t="str">
        <f t="shared" si="0"/>
        <v>2025</v>
      </c>
      <c r="K18" t="str">
        <f t="shared" si="1"/>
        <v>2</v>
      </c>
      <c r="L18" t="str">
        <f t="shared" si="3"/>
        <v>D:\文档\_工作相关\KPMG\CROSS II\2025Q2</v>
      </c>
      <c r="M18" t="str">
        <f t="shared" si="2"/>
        <v>中意人寿2025Q2偿付能力季度报告摘要.pdf</v>
      </c>
    </row>
    <row r="19" spans="1:13" x14ac:dyDescent="0.25">
      <c r="A19" t="s">
        <v>101</v>
      </c>
      <c r="B19" t="s">
        <v>107</v>
      </c>
      <c r="C19" t="s">
        <v>181</v>
      </c>
      <c r="D19" t="s">
        <v>106</v>
      </c>
      <c r="E19" t="s">
        <v>163</v>
      </c>
      <c r="F19" s="5"/>
      <c r="G19" s="2" t="str">
        <f>$J19&amp;"年第"&amp;CHOOSE($K19,"一","二","三","四")&amp;"季度"</f>
        <v>2025年第二季度</v>
      </c>
      <c r="H19" s="2"/>
      <c r="I19" s="2" t="s">
        <v>254</v>
      </c>
      <c r="J19" t="str">
        <f t="shared" si="0"/>
        <v>2025</v>
      </c>
      <c r="K19" t="str">
        <f t="shared" si="1"/>
        <v>2</v>
      </c>
      <c r="L19" t="str">
        <f t="shared" si="3"/>
        <v>D:\文档\_工作相关\KPMG\CROSS II\2025Q2</v>
      </c>
      <c r="M19" t="str">
        <f t="shared" si="2"/>
        <v>长城人寿2025Q2偿付能力季度报告摘要.pdf</v>
      </c>
    </row>
    <row r="20" spans="1:13" x14ac:dyDescent="0.25">
      <c r="A20" t="s">
        <v>101</v>
      </c>
      <c r="B20" t="s">
        <v>28</v>
      </c>
      <c r="C20" t="s">
        <v>181</v>
      </c>
      <c r="D20" t="s">
        <v>57</v>
      </c>
      <c r="E20" t="s">
        <v>163</v>
      </c>
      <c r="F20" s="5"/>
      <c r="G20" s="2" t="str">
        <f>$J20&amp;"年第"&amp;$K20&amp;"季度"</f>
        <v>2025年第2季度</v>
      </c>
      <c r="H20" s="2"/>
      <c r="I20" s="2" t="s">
        <v>254</v>
      </c>
      <c r="J20" t="str">
        <f t="shared" si="0"/>
        <v>2025</v>
      </c>
      <c r="K20" t="str">
        <f t="shared" si="1"/>
        <v>2</v>
      </c>
      <c r="L20" t="str">
        <f t="shared" si="3"/>
        <v>D:\文档\_工作相关\KPMG\CROSS II\2025Q2</v>
      </c>
      <c r="M20" t="str">
        <f t="shared" si="2"/>
        <v>幸福人寿2025Q2偿付能力季度报告摘要.pdf</v>
      </c>
    </row>
    <row r="21" spans="1:13" x14ac:dyDescent="0.25">
      <c r="A21" t="s">
        <v>101</v>
      </c>
      <c r="B21" t="s">
        <v>108</v>
      </c>
      <c r="C21" t="s">
        <v>181</v>
      </c>
      <c r="D21" t="s">
        <v>58</v>
      </c>
      <c r="E21" t="s">
        <v>163</v>
      </c>
      <c r="F21" s="5"/>
      <c r="G21" s="2" t="str">
        <f>$J21&amp;"年"&amp;$K21&amp;"季度"</f>
        <v>2025年2季度</v>
      </c>
      <c r="H21" s="2"/>
      <c r="I21" s="2" t="s">
        <v>254</v>
      </c>
      <c r="J21" t="str">
        <f t="shared" si="0"/>
        <v>2025</v>
      </c>
      <c r="K21" t="str">
        <f t="shared" si="1"/>
        <v>2</v>
      </c>
      <c r="L21" t="str">
        <f t="shared" si="3"/>
        <v>D:\文档\_工作相关\KPMG\CROSS II\2025Q2</v>
      </c>
      <c r="M21" t="str">
        <f t="shared" si="2"/>
        <v>光大永明2025Q2偿付能力季度报告摘要.pdf</v>
      </c>
    </row>
    <row r="22" spans="1:13" x14ac:dyDescent="0.25">
      <c r="A22" t="s">
        <v>101</v>
      </c>
      <c r="B22" t="s">
        <v>110</v>
      </c>
      <c r="C22" t="s">
        <v>181</v>
      </c>
      <c r="D22" t="s">
        <v>60</v>
      </c>
      <c r="E22" t="s">
        <v>163</v>
      </c>
      <c r="F22" s="5"/>
      <c r="G22" s="2" t="str">
        <f>$J22&amp;"年"&amp;$K22&amp;"季度"</f>
        <v>2025年2季度</v>
      </c>
      <c r="H22" s="2"/>
      <c r="I22" s="2" t="s">
        <v>254</v>
      </c>
      <c r="J22" t="str">
        <f t="shared" si="0"/>
        <v>2025</v>
      </c>
      <c r="K22" t="str">
        <f t="shared" si="1"/>
        <v>2</v>
      </c>
      <c r="L22" t="str">
        <f t="shared" si="3"/>
        <v>D:\文档\_工作相关\KPMG\CROSS II\2025Q2</v>
      </c>
      <c r="M22" t="str">
        <f t="shared" si="2"/>
        <v>英大人寿2025Q2偿付能力季度报告摘要.pdf</v>
      </c>
    </row>
    <row r="23" spans="1:13" x14ac:dyDescent="0.25">
      <c r="A23" t="s">
        <v>101</v>
      </c>
      <c r="B23" t="s">
        <v>29</v>
      </c>
      <c r="C23" t="s">
        <v>181</v>
      </c>
      <c r="D23" t="s">
        <v>61</v>
      </c>
      <c r="E23" t="s">
        <v>163</v>
      </c>
      <c r="F23" s="5"/>
      <c r="G23" s="2" t="str">
        <f>$J23&amp;"年第"&amp;$K23&amp;"季度"</f>
        <v>2025年第2季度</v>
      </c>
      <c r="H23" s="2"/>
      <c r="I23" s="2" t="s">
        <v>254</v>
      </c>
      <c r="J23" t="str">
        <f t="shared" si="0"/>
        <v>2025</v>
      </c>
      <c r="K23" t="str">
        <f t="shared" si="1"/>
        <v>2</v>
      </c>
      <c r="L23" t="str">
        <f t="shared" si="3"/>
        <v>D:\文档\_工作相关\KPMG\CROSS II\2025Q2</v>
      </c>
      <c r="M23" t="str">
        <f t="shared" si="2"/>
        <v>同方全球2025Q2偿付能力季度报告摘要.pdf</v>
      </c>
    </row>
    <row r="24" spans="1:13" x14ac:dyDescent="0.25">
      <c r="A24" t="s">
        <v>101</v>
      </c>
      <c r="B24" t="s">
        <v>30</v>
      </c>
      <c r="C24" t="s">
        <v>181</v>
      </c>
      <c r="D24" t="s">
        <v>62</v>
      </c>
      <c r="E24" t="s">
        <v>163</v>
      </c>
      <c r="F24" s="5"/>
      <c r="G24" s="2" t="str">
        <f>$J24&amp;"年第"&amp;$K24&amp;"季度"</f>
        <v>2025年第2季度</v>
      </c>
      <c r="H24" s="2"/>
      <c r="I24" s="2" t="s">
        <v>254</v>
      </c>
      <c r="J24" t="str">
        <f t="shared" si="0"/>
        <v>2025</v>
      </c>
      <c r="K24" t="str">
        <f t="shared" si="1"/>
        <v>2</v>
      </c>
      <c r="L24" t="str">
        <f t="shared" si="3"/>
        <v>D:\文档\_工作相关\KPMG\CROSS II\2025Q2</v>
      </c>
      <c r="M24" t="str">
        <f t="shared" si="2"/>
        <v>中荷人寿2025Q2偿付能力季度报告摘要.pdf</v>
      </c>
    </row>
    <row r="25" spans="1:13" x14ac:dyDescent="0.25">
      <c r="A25" t="s">
        <v>101</v>
      </c>
      <c r="B25" t="s">
        <v>112</v>
      </c>
      <c r="C25" t="s">
        <v>181</v>
      </c>
      <c r="D25" t="s">
        <v>113</v>
      </c>
      <c r="E25" t="s">
        <v>163</v>
      </c>
      <c r="F25" s="5"/>
      <c r="G25" s="2" t="str">
        <f>$J25&amp;"年"&amp;$K25&amp;"季度"</f>
        <v>2025年2季度</v>
      </c>
      <c r="H25" s="2"/>
      <c r="I25" s="2" t="s">
        <v>254</v>
      </c>
      <c r="J25" t="str">
        <f t="shared" si="0"/>
        <v>2025</v>
      </c>
      <c r="K25" t="str">
        <f t="shared" si="1"/>
        <v>2</v>
      </c>
      <c r="L25" t="str">
        <f t="shared" si="3"/>
        <v>D:\文档\_工作相关\KPMG\CROSS II\2025Q2</v>
      </c>
      <c r="M25" t="str">
        <f t="shared" si="2"/>
        <v>财信人寿2025Q2偿付能力季度报告摘要.pdf</v>
      </c>
    </row>
    <row r="26" spans="1:13" x14ac:dyDescent="0.25">
      <c r="A26" t="s">
        <v>101</v>
      </c>
      <c r="B26" t="s">
        <v>114</v>
      </c>
      <c r="C26" t="s">
        <v>181</v>
      </c>
      <c r="D26" t="s">
        <v>115</v>
      </c>
      <c r="E26" t="s">
        <v>163</v>
      </c>
      <c r="F26" s="5"/>
      <c r="G26" s="2" t="str">
        <f>$J26&amp;"年第"&amp;CHOOSE($K26,"一","二","三","四")&amp;"季度"</f>
        <v>2025年第二季度</v>
      </c>
      <c r="H26" s="2"/>
      <c r="I26" s="2" t="s">
        <v>254</v>
      </c>
      <c r="J26" t="str">
        <f t="shared" si="0"/>
        <v>2025</v>
      </c>
      <c r="K26" t="str">
        <f t="shared" si="1"/>
        <v>2</v>
      </c>
      <c r="L26" t="str">
        <f t="shared" si="3"/>
        <v>D:\文档\_工作相关\KPMG\CROSS II\2025Q2</v>
      </c>
      <c r="M26" t="str">
        <f t="shared" si="2"/>
        <v>华泰人寿2025Q2偿付能力季度报告摘要.pdf</v>
      </c>
    </row>
    <row r="27" spans="1:13" x14ac:dyDescent="0.25">
      <c r="A27" t="s">
        <v>101</v>
      </c>
      <c r="B27" t="s">
        <v>116</v>
      </c>
      <c r="C27" t="s">
        <v>181</v>
      </c>
      <c r="D27" t="s">
        <v>117</v>
      </c>
      <c r="E27" t="s">
        <v>163</v>
      </c>
      <c r="F27" s="5"/>
      <c r="G27" s="2" t="str">
        <f>$J27&amp;"年第"&amp;$K27&amp;"季度"</f>
        <v>2025年第2季度</v>
      </c>
      <c r="H27" s="2"/>
      <c r="I27" s="2" t="s">
        <v>254</v>
      </c>
      <c r="J27" t="str">
        <f t="shared" si="0"/>
        <v>2025</v>
      </c>
      <c r="K27" t="str">
        <f t="shared" si="1"/>
        <v>2</v>
      </c>
      <c r="L27" t="str">
        <f t="shared" si="3"/>
        <v>D:\文档\_工作相关\KPMG\CROSS II\2025Q2</v>
      </c>
      <c r="M27" t="str">
        <f t="shared" si="2"/>
        <v>安联人寿2025Q2偿付能力季度报告摘要.pdf</v>
      </c>
    </row>
    <row r="28" spans="1:13" x14ac:dyDescent="0.25">
      <c r="A28" t="s">
        <v>101</v>
      </c>
      <c r="B28" t="s">
        <v>118</v>
      </c>
      <c r="C28" t="s">
        <v>181</v>
      </c>
      <c r="D28" t="s">
        <v>69</v>
      </c>
      <c r="E28" t="s">
        <v>163</v>
      </c>
      <c r="F28" s="5"/>
      <c r="G28" s="2" t="str">
        <f>$J28&amp;"年"&amp;$K28&amp;"季度"</f>
        <v>2025年2季度</v>
      </c>
      <c r="H28" s="2"/>
      <c r="I28" s="2" t="s">
        <v>254</v>
      </c>
      <c r="J28" t="str">
        <f t="shared" si="0"/>
        <v>2025</v>
      </c>
      <c r="K28" t="str">
        <f t="shared" si="1"/>
        <v>2</v>
      </c>
      <c r="L28" t="str">
        <f t="shared" si="3"/>
        <v>D:\文档\_工作相关\KPMG\CROSS II\2025Q2</v>
      </c>
      <c r="M28" t="str">
        <f t="shared" si="2"/>
        <v>北京人寿2025Q2偿付能力季度报告摘要.pdf</v>
      </c>
    </row>
    <row r="29" spans="1:13" x14ac:dyDescent="0.25">
      <c r="A29" t="s">
        <v>101</v>
      </c>
      <c r="B29" t="s">
        <v>120</v>
      </c>
      <c r="C29" t="s">
        <v>181</v>
      </c>
      <c r="D29" t="s">
        <v>121</v>
      </c>
      <c r="E29" t="s">
        <v>163</v>
      </c>
      <c r="F29" s="5"/>
      <c r="G29" s="2" t="str">
        <f>$J29&amp;"年"&amp;$K29&amp;"季度"</f>
        <v>2025年2季度</v>
      </c>
      <c r="H29" s="2"/>
      <c r="I29" s="2" t="s">
        <v>254</v>
      </c>
      <c r="J29" t="str">
        <f t="shared" si="0"/>
        <v>2025</v>
      </c>
      <c r="K29" t="str">
        <f t="shared" si="1"/>
        <v>2</v>
      </c>
      <c r="L29" t="str">
        <f t="shared" si="3"/>
        <v>D:\文档\_工作相关\KPMG\CROSS II\2025Q2</v>
      </c>
      <c r="M29" t="str">
        <f t="shared" si="2"/>
        <v>复星联合2025Q2偿付能力季度报告摘要.pdf</v>
      </c>
    </row>
    <row r="30" spans="1:13" x14ac:dyDescent="0.25">
      <c r="A30" t="s">
        <v>101</v>
      </c>
      <c r="B30" t="s">
        <v>72</v>
      </c>
      <c r="C30" t="s">
        <v>181</v>
      </c>
      <c r="D30" t="s">
        <v>73</v>
      </c>
      <c r="E30" t="s">
        <v>163</v>
      </c>
      <c r="F30" s="5"/>
      <c r="G30" s="2" t="str">
        <f>$J30&amp;"年第"&amp;$K30&amp;"季度"</f>
        <v>2025年第2季度</v>
      </c>
      <c r="H30" s="2"/>
      <c r="I30" s="2" t="s">
        <v>254</v>
      </c>
      <c r="J30" t="str">
        <f t="shared" si="0"/>
        <v>2025</v>
      </c>
      <c r="K30" t="str">
        <f t="shared" si="1"/>
        <v>2</v>
      </c>
      <c r="L30" t="str">
        <f t="shared" si="3"/>
        <v>D:\文档\_工作相关\KPMG\CROSS II\2025Q2</v>
      </c>
      <c r="M30" t="str">
        <f t="shared" si="2"/>
        <v>国联人寿2025Q2偿付能力季度报告摘要.pdf</v>
      </c>
    </row>
    <row r="31" spans="1:13" x14ac:dyDescent="0.25">
      <c r="A31" t="s">
        <v>101</v>
      </c>
      <c r="B31" t="s">
        <v>122</v>
      </c>
      <c r="C31" t="s">
        <v>181</v>
      </c>
      <c r="D31" t="s">
        <v>123</v>
      </c>
      <c r="E31" t="s">
        <v>163</v>
      </c>
      <c r="F31" s="5"/>
      <c r="G31" s="2" t="str">
        <f>$J31&amp;"年第"&amp;CHOOSE($K31,"一","二","三","四")&amp;"季度"</f>
        <v>2025年第二季度</v>
      </c>
      <c r="H31" s="2"/>
      <c r="I31" s="2" t="s">
        <v>254</v>
      </c>
      <c r="J31" t="str">
        <f t="shared" si="0"/>
        <v>2025</v>
      </c>
      <c r="K31" t="str">
        <f t="shared" si="1"/>
        <v>2</v>
      </c>
      <c r="L31" t="str">
        <f t="shared" si="3"/>
        <v>D:\文档\_工作相关\KPMG\CROSS II\2025Q2</v>
      </c>
      <c r="M31" t="str">
        <f t="shared" si="2"/>
        <v>信美人寿2025Q2偿付能力季度报告摘要.pdf</v>
      </c>
    </row>
    <row r="32" spans="1:13" x14ac:dyDescent="0.25">
      <c r="A32" t="s">
        <v>101</v>
      </c>
      <c r="B32" t="s">
        <v>124</v>
      </c>
      <c r="C32" t="s">
        <v>181</v>
      </c>
      <c r="D32" t="s">
        <v>74</v>
      </c>
      <c r="E32" t="s">
        <v>163</v>
      </c>
      <c r="F32" s="5"/>
      <c r="G32" s="2" t="str">
        <f>$J32&amp;"年"&amp;CHOOSE($K32,"一","二","三","四")&amp;"季度"</f>
        <v>2025年二季度</v>
      </c>
      <c r="H32" s="2"/>
      <c r="I32" s="2" t="s">
        <v>254</v>
      </c>
      <c r="J32" t="str">
        <f t="shared" si="0"/>
        <v>2025</v>
      </c>
      <c r="K32" t="str">
        <f t="shared" si="1"/>
        <v>2</v>
      </c>
      <c r="L32" t="str">
        <f t="shared" si="3"/>
        <v>D:\文档\_工作相关\KPMG\CROSS II\2025Q2</v>
      </c>
      <c r="M32" t="str">
        <f t="shared" si="2"/>
        <v>中华人寿2025Q2偿付能力季度报告摘要.pdf</v>
      </c>
    </row>
    <row r="33" spans="1:13" x14ac:dyDescent="0.25">
      <c r="A33" t="s">
        <v>101</v>
      </c>
      <c r="B33" t="s">
        <v>125</v>
      </c>
      <c r="C33" t="s">
        <v>181</v>
      </c>
      <c r="D33" t="s">
        <v>126</v>
      </c>
      <c r="E33" t="s">
        <v>163</v>
      </c>
      <c r="F33" s="5"/>
      <c r="G33" s="2" t="str">
        <f>$J33&amp;"年"&amp;$K33&amp;"季度"</f>
        <v>2025年2季度</v>
      </c>
      <c r="H33" s="2"/>
      <c r="I33" s="2" t="s">
        <v>254</v>
      </c>
      <c r="J33" t="str">
        <f t="shared" si="0"/>
        <v>2025</v>
      </c>
      <c r="K33" t="str">
        <f t="shared" si="1"/>
        <v>2</v>
      </c>
      <c r="L33" t="str">
        <f t="shared" si="3"/>
        <v>D:\文档\_工作相关\KPMG\CROSS II\2025Q2</v>
      </c>
      <c r="M33" t="str">
        <f t="shared" si="2"/>
        <v>复星保德信2025Q2偿付能力季度报告摘要.pdf</v>
      </c>
    </row>
    <row r="34" spans="1:13" x14ac:dyDescent="0.25">
      <c r="A34" t="s">
        <v>101</v>
      </c>
      <c r="B34" t="s">
        <v>129</v>
      </c>
      <c r="C34" t="s">
        <v>181</v>
      </c>
      <c r="D34" t="s">
        <v>76</v>
      </c>
      <c r="E34" t="s">
        <v>163</v>
      </c>
      <c r="F34" s="5"/>
      <c r="G34" s="2" t="str">
        <f>$J34&amp;"年第"&amp;CHOOSE($K34,"一","二","三","四")&amp;"季度偿付能力"</f>
        <v>2025年第二季度偿付能力</v>
      </c>
      <c r="H34" s="2"/>
      <c r="I34" s="2" t="s">
        <v>254</v>
      </c>
      <c r="J34" t="str">
        <f t="shared" ref="J34:J44" si="4">LEFT(I34,4)</f>
        <v>2025</v>
      </c>
      <c r="K34" t="str">
        <f t="shared" ref="K34:K44" si="5">RIGHT(I34,1)</f>
        <v>2</v>
      </c>
      <c r="L34" t="str">
        <f t="shared" si="3"/>
        <v>D:\文档\_工作相关\KPMG\CROSS II\2025Q2</v>
      </c>
      <c r="M34" t="str">
        <f t="shared" ref="M34:M44" si="6">B34&amp;I34&amp;"偿付能力季度报告摘要.pdf"</f>
        <v>汇丰人寿2025Q2偿付能力季度报告摘要.pdf</v>
      </c>
    </row>
    <row r="35" spans="1:13" x14ac:dyDescent="0.25">
      <c r="A35" t="s">
        <v>101</v>
      </c>
      <c r="B35" t="s">
        <v>130</v>
      </c>
      <c r="C35" t="s">
        <v>181</v>
      </c>
      <c r="D35" t="s">
        <v>77</v>
      </c>
      <c r="E35" t="s">
        <v>163</v>
      </c>
      <c r="F35" s="5"/>
      <c r="G35" s="2" t="str">
        <f>$J35&amp;"年第"&amp;CHOOSE($K35,"一","二","三","四")&amp;"季度偿付能力"</f>
        <v>2025年第二季度偿付能力</v>
      </c>
      <c r="H35" s="2"/>
      <c r="I35" s="2" t="s">
        <v>254</v>
      </c>
      <c r="J35" t="str">
        <f t="shared" si="4"/>
        <v>2025</v>
      </c>
      <c r="K35" t="str">
        <f t="shared" si="5"/>
        <v>2</v>
      </c>
      <c r="L35" t="str">
        <f t="shared" ref="L35:L79" si="7">$L$2</f>
        <v>D:\文档\_工作相关\KPMG\CROSS II\2025Q2</v>
      </c>
      <c r="M35" t="str">
        <f t="shared" si="6"/>
        <v>爱心人寿2025Q2偿付能力季度报告摘要.pdf</v>
      </c>
    </row>
    <row r="36" spans="1:13" x14ac:dyDescent="0.25">
      <c r="A36" t="s">
        <v>101</v>
      </c>
      <c r="B36" t="s">
        <v>132</v>
      </c>
      <c r="C36" t="s">
        <v>181</v>
      </c>
      <c r="D36" t="s">
        <v>133</v>
      </c>
      <c r="E36" t="s">
        <v>163</v>
      </c>
      <c r="F36" s="5"/>
      <c r="G36" s="2" t="str">
        <f>$J36&amp;"年第"&amp;$K36&amp;"季度偿付能力"</f>
        <v>2025年第2季度偿付能力</v>
      </c>
      <c r="H36" s="2"/>
      <c r="I36" s="2" t="s">
        <v>254</v>
      </c>
      <c r="J36" t="str">
        <f t="shared" si="4"/>
        <v>2025</v>
      </c>
      <c r="K36" t="str">
        <f t="shared" si="5"/>
        <v>2</v>
      </c>
      <c r="L36" t="str">
        <f t="shared" si="7"/>
        <v>D:\文档\_工作相关\KPMG\CROSS II\2025Q2</v>
      </c>
      <c r="M36" t="str">
        <f t="shared" si="6"/>
        <v>小康人寿2025Q2偿付能力季度报告摘要.pdf</v>
      </c>
    </row>
    <row r="37" spans="1:13" x14ac:dyDescent="0.25">
      <c r="A37" t="s">
        <v>101</v>
      </c>
      <c r="B37" t="s">
        <v>134</v>
      </c>
      <c r="C37" t="s">
        <v>181</v>
      </c>
      <c r="D37" t="s">
        <v>80</v>
      </c>
      <c r="E37" t="s">
        <v>163</v>
      </c>
      <c r="F37" s="5"/>
      <c r="G37" s="2" t="str">
        <f>$J37&amp;"年第"&amp;$K37&amp;"季度"</f>
        <v>2025年第2季度</v>
      </c>
      <c r="H37" s="2"/>
      <c r="I37" s="2" t="s">
        <v>254</v>
      </c>
      <c r="J37" t="str">
        <f t="shared" si="4"/>
        <v>2025</v>
      </c>
      <c r="K37" t="str">
        <f t="shared" si="5"/>
        <v>2</v>
      </c>
      <c r="L37" t="str">
        <f t="shared" si="7"/>
        <v>D:\文档\_工作相关\KPMG\CROSS II\2025Q2</v>
      </c>
      <c r="M37" t="str">
        <f t="shared" si="6"/>
        <v>北大方正2025Q2偿付能力季度报告摘要.pdf</v>
      </c>
    </row>
    <row r="38" spans="1:13" x14ac:dyDescent="0.25">
      <c r="A38" t="s">
        <v>101</v>
      </c>
      <c r="B38" t="s">
        <v>136</v>
      </c>
      <c r="C38" t="s">
        <v>181</v>
      </c>
      <c r="D38" t="s">
        <v>81</v>
      </c>
      <c r="E38" t="s">
        <v>163</v>
      </c>
      <c r="F38" s="5"/>
      <c r="G38" s="2" t="str">
        <f>$J38&amp;"年第"&amp;CHOOSE($K38,"一","二","三","四")&amp;"季度"</f>
        <v>2025年第二季度</v>
      </c>
      <c r="H38" s="2"/>
      <c r="I38" s="2" t="s">
        <v>254</v>
      </c>
      <c r="J38" t="str">
        <f t="shared" si="4"/>
        <v>2025</v>
      </c>
      <c r="K38" t="str">
        <f t="shared" si="5"/>
        <v>2</v>
      </c>
      <c r="L38" t="str">
        <f t="shared" si="7"/>
        <v>D:\文档\_工作相关\KPMG\CROSS II\2025Q2</v>
      </c>
      <c r="M38" t="str">
        <f t="shared" si="6"/>
        <v>瑞泰人寿2025Q2偿付能力季度报告摘要.pdf</v>
      </c>
    </row>
    <row r="39" spans="1:13" x14ac:dyDescent="0.25">
      <c r="A39" t="s">
        <v>101</v>
      </c>
      <c r="B39" t="s">
        <v>137</v>
      </c>
      <c r="C39" t="s">
        <v>181</v>
      </c>
      <c r="D39" t="s">
        <v>82</v>
      </c>
      <c r="E39" t="s">
        <v>163</v>
      </c>
      <c r="F39" s="5"/>
      <c r="G39" s="2" t="str">
        <f>$J39&amp;"年第"&amp;$K39&amp;"季度"</f>
        <v>2025年第2季度</v>
      </c>
      <c r="H39" s="2"/>
      <c r="I39" s="2" t="s">
        <v>254</v>
      </c>
      <c r="J39" t="str">
        <f t="shared" si="4"/>
        <v>2025</v>
      </c>
      <c r="K39" t="str">
        <f t="shared" si="5"/>
        <v>2</v>
      </c>
      <c r="L39" t="str">
        <f t="shared" si="7"/>
        <v>D:\文档\_工作相关\KPMG\CROSS II\2025Q2</v>
      </c>
      <c r="M39" t="str">
        <f t="shared" si="6"/>
        <v>国宝人寿2025Q2偿付能力季度报告摘要.pdf</v>
      </c>
    </row>
    <row r="40" spans="1:13" x14ac:dyDescent="0.25">
      <c r="A40" t="s">
        <v>101</v>
      </c>
      <c r="B40" t="s">
        <v>138</v>
      </c>
      <c r="C40" t="s">
        <v>181</v>
      </c>
      <c r="D40" t="s">
        <v>139</v>
      </c>
      <c r="E40" t="s">
        <v>163</v>
      </c>
      <c r="F40" s="5"/>
      <c r="G40" s="2" t="str">
        <f>$J40&amp;"年第"&amp;CHOOSE($K40,"一","二","三","四")&amp;"季度"</f>
        <v>2025年第二季度</v>
      </c>
      <c r="H40" s="2"/>
      <c r="I40" s="2" t="s">
        <v>254</v>
      </c>
      <c r="J40" t="str">
        <f t="shared" si="4"/>
        <v>2025</v>
      </c>
      <c r="K40" t="str">
        <f t="shared" si="5"/>
        <v>2</v>
      </c>
      <c r="L40" t="str">
        <f t="shared" si="7"/>
        <v>D:\文档\_工作相关\KPMG\CROSS II\2025Q2</v>
      </c>
      <c r="M40" t="str">
        <f t="shared" si="6"/>
        <v>和泰人寿2025Q2偿付能力季度报告摘要.pdf</v>
      </c>
    </row>
    <row r="41" spans="1:13" x14ac:dyDescent="0.25">
      <c r="A41" t="s">
        <v>101</v>
      </c>
      <c r="B41" t="s">
        <v>140</v>
      </c>
      <c r="C41" t="s">
        <v>181</v>
      </c>
      <c r="D41" t="s">
        <v>141</v>
      </c>
      <c r="E41" t="s">
        <v>163</v>
      </c>
      <c r="F41" s="5"/>
      <c r="G41" s="2" t="str">
        <f>$J41&amp;"年第"&amp;CHOOSE($K41,"一","二","三","四")&amp;"季度"</f>
        <v>2025年第二季度</v>
      </c>
      <c r="H41" s="2"/>
      <c r="I41" s="2" t="s">
        <v>254</v>
      </c>
      <c r="J41" t="str">
        <f t="shared" si="4"/>
        <v>2025</v>
      </c>
      <c r="K41" t="str">
        <f t="shared" si="5"/>
        <v>2</v>
      </c>
      <c r="L41" t="str">
        <f t="shared" si="7"/>
        <v>D:\文档\_工作相关\KPMG\CROSS II\2025Q2</v>
      </c>
      <c r="M41" t="str">
        <f t="shared" si="6"/>
        <v>国富人寿2025Q2偿付能力季度报告摘要.pdf</v>
      </c>
    </row>
    <row r="42" spans="1:13" x14ac:dyDescent="0.25">
      <c r="A42" t="s">
        <v>101</v>
      </c>
      <c r="B42" t="s">
        <v>31</v>
      </c>
      <c r="C42" t="s">
        <v>181</v>
      </c>
      <c r="D42" t="s">
        <v>83</v>
      </c>
      <c r="E42" t="s">
        <v>163</v>
      </c>
      <c r="F42" s="5"/>
      <c r="G42" s="2" t="str">
        <f>$J42&amp;"年第"&amp;$K42&amp;"季度"</f>
        <v>2025年第2季度</v>
      </c>
      <c r="H42" s="2"/>
      <c r="I42" s="2" t="s">
        <v>254</v>
      </c>
      <c r="J42" t="str">
        <f t="shared" si="4"/>
        <v>2025</v>
      </c>
      <c r="K42" t="str">
        <f t="shared" si="5"/>
        <v>2</v>
      </c>
      <c r="L42" t="str">
        <f t="shared" si="7"/>
        <v>D:\文档\_工作相关\KPMG\CROSS II\2025Q2</v>
      </c>
      <c r="M42" t="str">
        <f t="shared" si="6"/>
        <v>华贵人寿2025Q2偿付能力季度报告摘要.pdf</v>
      </c>
    </row>
    <row r="43" spans="1:13" x14ac:dyDescent="0.25">
      <c r="A43" t="s">
        <v>101</v>
      </c>
      <c r="B43" t="s">
        <v>84</v>
      </c>
      <c r="C43" t="s">
        <v>181</v>
      </c>
      <c r="D43" t="s">
        <v>85</v>
      </c>
      <c r="E43" t="s">
        <v>163</v>
      </c>
      <c r="F43" s="5"/>
      <c r="G43" s="2" t="str">
        <f>$J43&amp;"年第"&amp;$K43&amp;"季度"</f>
        <v>2025年第2季度</v>
      </c>
      <c r="H43" s="2"/>
      <c r="I43" s="2" t="s">
        <v>254</v>
      </c>
      <c r="J43" t="str">
        <f t="shared" si="4"/>
        <v>2025</v>
      </c>
      <c r="K43" t="str">
        <f t="shared" si="5"/>
        <v>2</v>
      </c>
      <c r="L43" t="str">
        <f t="shared" si="7"/>
        <v>D:\文档\_工作相关\KPMG\CROSS II\2025Q2</v>
      </c>
      <c r="M43" t="str">
        <f t="shared" si="6"/>
        <v>长生人寿2025Q2偿付能力季度报告摘要.pdf</v>
      </c>
    </row>
    <row r="44" spans="1:13" x14ac:dyDescent="0.25">
      <c r="A44" t="s">
        <v>101</v>
      </c>
      <c r="B44" t="s">
        <v>142</v>
      </c>
      <c r="C44" t="s">
        <v>181</v>
      </c>
      <c r="D44" t="s">
        <v>86</v>
      </c>
      <c r="E44" t="s">
        <v>163</v>
      </c>
      <c r="F44" s="5"/>
      <c r="G44" s="2" t="str">
        <f>$J44&amp;"年第"&amp;$K44&amp;"季度"</f>
        <v>2025年第2季度</v>
      </c>
      <c r="H44" s="2"/>
      <c r="I44" s="2" t="s">
        <v>254</v>
      </c>
      <c r="J44" t="str">
        <f t="shared" si="4"/>
        <v>2025</v>
      </c>
      <c r="K44" t="str">
        <f t="shared" si="5"/>
        <v>2</v>
      </c>
      <c r="L44" t="str">
        <f t="shared" si="7"/>
        <v>D:\文档\_工作相关\KPMG\CROSS II\2025Q2</v>
      </c>
      <c r="M44" t="str">
        <f t="shared" si="6"/>
        <v>鼎诚人寿2025Q2偿付能力季度报告摘要.pdf</v>
      </c>
    </row>
    <row r="45" spans="1:13" x14ac:dyDescent="0.25">
      <c r="A45" t="s">
        <v>101</v>
      </c>
      <c r="B45" t="s">
        <v>193</v>
      </c>
      <c r="C45" t="s">
        <v>183</v>
      </c>
      <c r="D45" t="s">
        <v>194</v>
      </c>
      <c r="E45" t="s">
        <v>195</v>
      </c>
      <c r="F45" s="5"/>
      <c r="G45" s="2" t="str">
        <f>$J45&amp;"年第"&amp;$K45&amp;"季度"</f>
        <v>2025年第2季度</v>
      </c>
      <c r="H45" s="2"/>
      <c r="I45" s="2" t="s">
        <v>254</v>
      </c>
      <c r="J45" t="str">
        <f t="shared" ref="J45:J64" si="8">LEFT(I45,4)</f>
        <v>2025</v>
      </c>
      <c r="K45" t="str">
        <f t="shared" ref="K45:K64" si="9">RIGHT(I45,1)</f>
        <v>2</v>
      </c>
      <c r="L45" t="str">
        <f>config!$L$2</f>
        <v>D:\文档\_工作相关\KPMG\CROSS II\2025Q2</v>
      </c>
      <c r="M45" t="str">
        <f t="shared" ref="M45:M53" si="10">B45&amp;I45&amp;"偿付能力季度报告摘要.pdf"</f>
        <v>人保健康2025Q2偿付能力季度报告摘要.pdf</v>
      </c>
    </row>
    <row r="46" spans="1:13" x14ac:dyDescent="0.25">
      <c r="A46" t="s">
        <v>101</v>
      </c>
      <c r="B46" t="s">
        <v>196</v>
      </c>
      <c r="C46" t="s">
        <v>184</v>
      </c>
      <c r="D46" t="s">
        <v>197</v>
      </c>
      <c r="E46" t="s">
        <v>195</v>
      </c>
      <c r="F46" s="5"/>
      <c r="G46" s="2" t="str">
        <f>$J46&amp;"年第"&amp;CHOOSE($K46,"一","二","三","四")&amp;"季度"</f>
        <v>2025年第二季度</v>
      </c>
      <c r="H46" s="2"/>
      <c r="I46" s="2" t="s">
        <v>254</v>
      </c>
      <c r="J46" t="str">
        <f t="shared" si="8"/>
        <v>2025</v>
      </c>
      <c r="K46" t="str">
        <f t="shared" si="9"/>
        <v>2</v>
      </c>
      <c r="L46" t="str">
        <f>config!$L$2</f>
        <v>D:\文档\_工作相关\KPMG\CROSS II\2025Q2</v>
      </c>
      <c r="M46" t="str">
        <f t="shared" si="10"/>
        <v>平安养老2025Q2偿付能力季度报告摘要.pdf</v>
      </c>
    </row>
    <row r="47" spans="1:13" x14ac:dyDescent="0.25">
      <c r="A47" t="s">
        <v>101</v>
      </c>
      <c r="B47" t="s">
        <v>198</v>
      </c>
      <c r="C47" t="s">
        <v>183</v>
      </c>
      <c r="D47" t="s">
        <v>199</v>
      </c>
      <c r="E47" t="s">
        <v>195</v>
      </c>
      <c r="F47" s="5"/>
      <c r="G47" s="2" t="str">
        <f>$J47&amp;"年第"&amp;$K47&amp;"季度"</f>
        <v>2025年第2季度</v>
      </c>
      <c r="H47" s="2"/>
      <c r="I47" s="2" t="s">
        <v>254</v>
      </c>
      <c r="J47" t="str">
        <f t="shared" si="8"/>
        <v>2025</v>
      </c>
      <c r="K47" t="str">
        <f t="shared" si="9"/>
        <v>2</v>
      </c>
      <c r="L47" t="str">
        <f>config!$L$2</f>
        <v>D:\文档\_工作相关\KPMG\CROSS II\2025Q2</v>
      </c>
      <c r="M47" t="str">
        <f t="shared" si="10"/>
        <v>太保健康2025Q2偿付能力季度报告摘要.pdf</v>
      </c>
    </row>
    <row r="48" spans="1:13" x14ac:dyDescent="0.25">
      <c r="A48" t="s">
        <v>101</v>
      </c>
      <c r="B48" t="s">
        <v>201</v>
      </c>
      <c r="C48" t="s">
        <v>184</v>
      </c>
      <c r="D48" t="s">
        <v>202</v>
      </c>
      <c r="E48" t="s">
        <v>163</v>
      </c>
      <c r="F48" s="5"/>
      <c r="G48" s="2" t="str">
        <f>$J48&amp;"年第"&amp;$K48&amp;"季度"</f>
        <v>2025年第2季度</v>
      </c>
      <c r="H48" s="2"/>
      <c r="I48" s="2" t="s">
        <v>254</v>
      </c>
      <c r="J48" t="str">
        <f t="shared" si="8"/>
        <v>2025</v>
      </c>
      <c r="K48" t="str">
        <f t="shared" si="9"/>
        <v>2</v>
      </c>
      <c r="L48" t="str">
        <f>config!$L$2</f>
        <v>D:\文档\_工作相关\KPMG\CROSS II\2025Q2</v>
      </c>
      <c r="M48" t="str">
        <f t="shared" si="10"/>
        <v>泰康养老2025Q2偿付能力季度报告摘要.pdf</v>
      </c>
    </row>
    <row r="49" spans="1:13" x14ac:dyDescent="0.25">
      <c r="A49" t="s">
        <v>101</v>
      </c>
      <c r="B49" t="s">
        <v>203</v>
      </c>
      <c r="C49" t="s">
        <v>184</v>
      </c>
      <c r="D49" t="s">
        <v>63</v>
      </c>
      <c r="E49" t="s">
        <v>204</v>
      </c>
      <c r="F49" s="5"/>
      <c r="G49" s="2" t="str">
        <f>$J49&amp;"年第"&amp;$K49&amp;"季度"</f>
        <v>2025年第2季度</v>
      </c>
      <c r="H49" s="2"/>
      <c r="I49" s="2" t="s">
        <v>254</v>
      </c>
      <c r="J49" t="str">
        <f t="shared" si="8"/>
        <v>2025</v>
      </c>
      <c r="K49" t="str">
        <f t="shared" si="9"/>
        <v>2</v>
      </c>
      <c r="L49" t="str">
        <f>config!$L$2</f>
        <v>D:\文档\_工作相关\KPMG\CROSS II\2025Q2</v>
      </c>
      <c r="M49" t="str">
        <f t="shared" si="10"/>
        <v>国寿养老2025Q2偿付能力季度报告摘要.pdf</v>
      </c>
    </row>
    <row r="50" spans="1:13" x14ac:dyDescent="0.25">
      <c r="A50" t="s">
        <v>101</v>
      </c>
      <c r="B50" t="s">
        <v>205</v>
      </c>
      <c r="C50" t="s">
        <v>184</v>
      </c>
      <c r="D50" t="s">
        <v>67</v>
      </c>
      <c r="E50" t="s">
        <v>163</v>
      </c>
      <c r="F50" s="5"/>
      <c r="G50" s="2" t="str">
        <f>$J50&amp;"年"&amp;$K50&amp;"季度"</f>
        <v>2025年2季度</v>
      </c>
      <c r="H50" s="2"/>
      <c r="I50" s="2" t="s">
        <v>254</v>
      </c>
      <c r="J50" t="str">
        <f t="shared" si="8"/>
        <v>2025</v>
      </c>
      <c r="K50" t="str">
        <f t="shared" si="9"/>
        <v>2</v>
      </c>
      <c r="L50" t="str">
        <f>config!$L$2</f>
        <v>D:\文档\_工作相关\KPMG\CROSS II\2025Q2</v>
      </c>
      <c r="M50" t="str">
        <f t="shared" si="10"/>
        <v>新华养老2025Q2偿付能力季度报告摘要.pdf</v>
      </c>
    </row>
    <row r="51" spans="1:13" x14ac:dyDescent="0.25">
      <c r="A51" t="s">
        <v>101</v>
      </c>
      <c r="B51" t="s">
        <v>206</v>
      </c>
      <c r="C51" t="s">
        <v>184</v>
      </c>
      <c r="D51" t="s">
        <v>70</v>
      </c>
      <c r="E51" t="s">
        <v>163</v>
      </c>
      <c r="F51" s="5"/>
      <c r="G51" s="2" t="str">
        <f>$J51&amp;"年第"&amp;$K51&amp;"季度"</f>
        <v>2025年第2季度</v>
      </c>
      <c r="H51" s="2"/>
      <c r="I51" s="2" t="s">
        <v>254</v>
      </c>
      <c r="J51" t="str">
        <f t="shared" si="8"/>
        <v>2025</v>
      </c>
      <c r="K51" t="str">
        <f t="shared" si="9"/>
        <v>2</v>
      </c>
      <c r="L51" t="str">
        <f>config!$L$2</f>
        <v>D:\文档\_工作相关\KPMG\CROSS II\2025Q2</v>
      </c>
      <c r="M51" t="str">
        <f t="shared" si="10"/>
        <v>人保养老2025Q2偿付能力季度报告摘要.pdf</v>
      </c>
    </row>
    <row r="52" spans="1:13" x14ac:dyDescent="0.25">
      <c r="A52" t="s">
        <v>101</v>
      </c>
      <c r="B52" t="s">
        <v>207</v>
      </c>
      <c r="C52" t="s">
        <v>183</v>
      </c>
      <c r="D52" t="s">
        <v>87</v>
      </c>
      <c r="E52" t="s">
        <v>163</v>
      </c>
      <c r="F52" s="5"/>
      <c r="G52" s="2" t="str">
        <f>$J52&amp;"年第"&amp;$K52&amp;"季度"</f>
        <v>2025年第2季度</v>
      </c>
      <c r="H52" s="2"/>
      <c r="I52" s="2" t="s">
        <v>254</v>
      </c>
      <c r="J52" t="str">
        <f t="shared" si="8"/>
        <v>2025</v>
      </c>
      <c r="K52" t="str">
        <f t="shared" si="9"/>
        <v>2</v>
      </c>
      <c r="L52" t="str">
        <f>config!$L$2</f>
        <v>D:\文档\_工作相关\KPMG\CROSS II\2025Q2</v>
      </c>
      <c r="M52" t="str">
        <f t="shared" si="10"/>
        <v>瑞华健康2025Q2偿付能力季度报告摘要.pdf</v>
      </c>
    </row>
    <row r="53" spans="1:13" x14ac:dyDescent="0.25">
      <c r="A53" t="s">
        <v>101</v>
      </c>
      <c r="B53" t="s">
        <v>208</v>
      </c>
      <c r="C53" t="s">
        <v>184</v>
      </c>
      <c r="D53" t="s">
        <v>209</v>
      </c>
      <c r="E53" t="s">
        <v>163</v>
      </c>
      <c r="F53" s="5"/>
      <c r="G53" s="2" t="str">
        <f>$J53&amp;"年第"&amp;CHOOSE($K53,"一","二","三","四")&amp;"季度"</f>
        <v>2025年第二季度</v>
      </c>
      <c r="H53" s="2"/>
      <c r="I53" s="2" t="s">
        <v>254</v>
      </c>
      <c r="J53" t="str">
        <f t="shared" si="8"/>
        <v>2025</v>
      </c>
      <c r="K53" t="str">
        <f t="shared" si="9"/>
        <v>2</v>
      </c>
      <c r="L53" t="str">
        <f>config!$L$2</f>
        <v>D:\文档\_工作相关\KPMG\CROSS II\2025Q2</v>
      </c>
      <c r="M53" t="str">
        <f t="shared" si="10"/>
        <v>恒安标准养老2025Q2偿付能力季度报告摘要.pdf</v>
      </c>
    </row>
    <row r="54" spans="1:13" x14ac:dyDescent="0.25">
      <c r="A54" t="s">
        <v>101</v>
      </c>
      <c r="B54" t="s">
        <v>111</v>
      </c>
      <c r="C54" t="s">
        <v>181</v>
      </c>
      <c r="D54" t="s">
        <v>64</v>
      </c>
      <c r="E54" t="s">
        <v>211</v>
      </c>
      <c r="F54" s="5"/>
      <c r="G54" s="2" t="str">
        <f>$J54&amp;"年"&amp;$K54&amp;"季度"</f>
        <v>2025年2季度</v>
      </c>
      <c r="H54" s="2"/>
      <c r="I54" s="2" t="s">
        <v>254</v>
      </c>
      <c r="J54" t="str">
        <f t="shared" ref="J54:J60" si="11">LEFT(I54,4)</f>
        <v>2025</v>
      </c>
      <c r="K54" t="str">
        <f t="shared" ref="K54:K60" si="12">RIGHT(I54,1)</f>
        <v>2</v>
      </c>
      <c r="L54" t="str">
        <f t="shared" si="7"/>
        <v>D:\文档\_工作相关\KPMG\CROSS II\2025Q2</v>
      </c>
      <c r="M54" t="str">
        <f t="shared" ref="M54:M78" si="13">B54&amp;I54&amp;"偿付能力季度报告摘要.pdf"</f>
        <v>弘康人寿2025Q2偿付能力季度报告摘要.pdf</v>
      </c>
    </row>
    <row r="55" spans="1:13" x14ac:dyDescent="0.25">
      <c r="A55" t="s">
        <v>101</v>
      </c>
      <c r="B55" t="s">
        <v>212</v>
      </c>
      <c r="C55" t="s">
        <v>181</v>
      </c>
      <c r="D55" t="s">
        <v>213</v>
      </c>
      <c r="E55" t="s">
        <v>163</v>
      </c>
      <c r="F55" s="5"/>
      <c r="G55" s="2" t="str">
        <f>$J55&amp;"年第"&amp;$K55&amp;"季度偿付能力"</f>
        <v>2025年第2季度偿付能力</v>
      </c>
      <c r="H55" s="2"/>
      <c r="I55" s="2" t="s">
        <v>254</v>
      </c>
      <c r="J55" t="str">
        <f t="shared" si="11"/>
        <v>2025</v>
      </c>
      <c r="K55" t="str">
        <f t="shared" si="12"/>
        <v>2</v>
      </c>
      <c r="L55" t="str">
        <f t="shared" si="7"/>
        <v>D:\文档\_工作相关\KPMG\CROSS II\2025Q2</v>
      </c>
      <c r="M55" t="str">
        <f t="shared" si="13"/>
        <v>德华安顾2025Q2偿付能力季度报告摘要.pdf</v>
      </c>
    </row>
    <row r="56" spans="1:13" x14ac:dyDescent="0.25">
      <c r="A56" t="s">
        <v>101</v>
      </c>
      <c r="B56" t="s">
        <v>214</v>
      </c>
      <c r="C56" t="s">
        <v>181</v>
      </c>
      <c r="D56" t="s">
        <v>219</v>
      </c>
      <c r="E56" t="s">
        <v>220</v>
      </c>
      <c r="F56" s="5"/>
      <c r="G56" s="2" t="str">
        <f>$J56&amp;"年第"&amp;$K56&amp;"季度"</f>
        <v>2025年第2季度</v>
      </c>
      <c r="H56" s="2"/>
      <c r="I56" s="2" t="s">
        <v>254</v>
      </c>
      <c r="J56" t="str">
        <f t="shared" si="11"/>
        <v>2025</v>
      </c>
      <c r="K56" t="str">
        <f t="shared" si="12"/>
        <v>2</v>
      </c>
      <c r="L56" t="str">
        <f t="shared" si="7"/>
        <v>D:\文档\_工作相关\KPMG\CROSS II\2025Q2</v>
      </c>
      <c r="M56" t="str">
        <f t="shared" si="13"/>
        <v>阳光人寿2025Q2偿付能力季度报告摘要.pdf</v>
      </c>
    </row>
    <row r="57" spans="1:13" x14ac:dyDescent="0.25">
      <c r="A57" t="s">
        <v>101</v>
      </c>
      <c r="B57" t="s">
        <v>109</v>
      </c>
      <c r="C57" t="s">
        <v>181</v>
      </c>
      <c r="D57" t="s">
        <v>221</v>
      </c>
      <c r="E57" t="s">
        <v>222</v>
      </c>
      <c r="F57" s="5"/>
      <c r="G57" s="2" t="str">
        <f>$J57&amp;"年第"&amp;$K57&amp;"季度"</f>
        <v>2025年第2季度</v>
      </c>
      <c r="H57" s="2"/>
      <c r="I57" s="2" t="s">
        <v>254</v>
      </c>
      <c r="J57" t="str">
        <f t="shared" si="11"/>
        <v>2025</v>
      </c>
      <c r="K57" t="str">
        <f t="shared" si="12"/>
        <v>2</v>
      </c>
      <c r="L57" t="str">
        <f t="shared" si="7"/>
        <v>D:\文档\_工作相关\KPMG\CROSS II\2025Q2</v>
      </c>
      <c r="M57" t="str">
        <f t="shared" si="13"/>
        <v>中银三星2025Q2偿付能力季度报告摘要.pdf</v>
      </c>
    </row>
    <row r="58" spans="1:13" ht="13.5" customHeight="1" x14ac:dyDescent="0.25">
      <c r="A58" t="s">
        <v>101</v>
      </c>
      <c r="B58" t="s">
        <v>223</v>
      </c>
      <c r="C58" t="s">
        <v>181</v>
      </c>
      <c r="D58" t="s">
        <v>224</v>
      </c>
      <c r="E58" t="s">
        <v>211</v>
      </c>
      <c r="F58" s="5"/>
      <c r="G58" s="2" t="str">
        <f>$J58&amp;"年第"&amp;$K58&amp;"季度"</f>
        <v>2025年第2季度</v>
      </c>
      <c r="H58" s="2"/>
      <c r="I58" s="2" t="s">
        <v>254</v>
      </c>
      <c r="J58" t="str">
        <f t="shared" si="11"/>
        <v>2025</v>
      </c>
      <c r="K58" t="str">
        <f t="shared" si="12"/>
        <v>2</v>
      </c>
      <c r="L58" t="str">
        <f t="shared" si="7"/>
        <v>D:\文档\_工作相关\KPMG\CROSS II\2025Q2</v>
      </c>
      <c r="M58" t="str">
        <f t="shared" si="13"/>
        <v>横琴人寿2025Q2偿付能力季度报告摘要.pdf</v>
      </c>
    </row>
    <row r="59" spans="1:13" x14ac:dyDescent="0.25">
      <c r="A59" t="s">
        <v>101</v>
      </c>
      <c r="B59" t="s">
        <v>225</v>
      </c>
      <c r="C59" t="s">
        <v>184</v>
      </c>
      <c r="D59" t="s">
        <v>59</v>
      </c>
      <c r="E59" t="s">
        <v>211</v>
      </c>
      <c r="F59" s="5"/>
      <c r="G59" s="2" t="str">
        <f>$J59&amp;"年第"&amp;CHOOSE($K59,"一","二","三","四")&amp;"季度"</f>
        <v>2025年第二季度</v>
      </c>
      <c r="H59" s="2"/>
      <c r="I59" s="2" t="s">
        <v>254</v>
      </c>
      <c r="J59" t="str">
        <f t="shared" si="11"/>
        <v>2025</v>
      </c>
      <c r="K59" t="str">
        <f t="shared" si="12"/>
        <v>2</v>
      </c>
      <c r="L59" t="str">
        <f>config!$L$2</f>
        <v>D:\文档\_工作相关\KPMG\CROSS II\2025Q2</v>
      </c>
      <c r="M59" t="str">
        <f t="shared" si="13"/>
        <v>国民养老2025Q2偿付能力季度报告摘要.pdf</v>
      </c>
    </row>
    <row r="60" spans="1:13" x14ac:dyDescent="0.25">
      <c r="A60" t="s">
        <v>101</v>
      </c>
      <c r="B60" t="s">
        <v>226</v>
      </c>
      <c r="C60" t="s">
        <v>183</v>
      </c>
      <c r="D60" t="s">
        <v>227</v>
      </c>
      <c r="E60" t="s">
        <v>163</v>
      </c>
      <c r="F60" s="5"/>
      <c r="G60" s="2" t="str">
        <f>$J60&amp;"年"&amp;$K60&amp;"季度"</f>
        <v>2025年2季度</v>
      </c>
      <c r="H60" s="2"/>
      <c r="I60" s="2" t="s">
        <v>254</v>
      </c>
      <c r="J60" t="str">
        <f t="shared" si="11"/>
        <v>2025</v>
      </c>
      <c r="K60" t="str">
        <f t="shared" si="12"/>
        <v>2</v>
      </c>
      <c r="L60" t="str">
        <f>config!$L$2</f>
        <v>D:\文档\_工作相关\KPMG\CROSS II\2025Q2</v>
      </c>
      <c r="M60" t="str">
        <f t="shared" si="13"/>
        <v>平安健康2025Q2偿付能力季度报告摘要.pdf</v>
      </c>
    </row>
    <row r="61" spans="1:13" x14ac:dyDescent="0.25">
      <c r="A61" t="s">
        <v>101</v>
      </c>
      <c r="B61" t="s">
        <v>228</v>
      </c>
      <c r="C61" t="s">
        <v>181</v>
      </c>
      <c r="D61" t="s">
        <v>229</v>
      </c>
      <c r="E61" t="s">
        <v>230</v>
      </c>
      <c r="F61" s="5"/>
      <c r="G61" s="2" t="str">
        <f>$J61&amp;"年"&amp;$K61&amp;"季度"</f>
        <v>2025年2季度</v>
      </c>
      <c r="H61" s="2"/>
      <c r="I61" s="2" t="s">
        <v>254</v>
      </c>
      <c r="J61" t="str">
        <f t="shared" si="8"/>
        <v>2025</v>
      </c>
      <c r="K61" t="str">
        <f t="shared" si="9"/>
        <v>2</v>
      </c>
      <c r="L61" t="str">
        <f t="shared" si="7"/>
        <v>D:\文档\_工作相关\KPMG\CROSS II\2025Q2</v>
      </c>
      <c r="M61" t="str">
        <f t="shared" si="13"/>
        <v>海保人寿2025Q2偿付能力季度报告摘要.pdf</v>
      </c>
    </row>
    <row r="62" spans="1:13" x14ac:dyDescent="0.25">
      <c r="A62" t="s">
        <v>101</v>
      </c>
      <c r="B62" t="s">
        <v>250</v>
      </c>
      <c r="C62" t="s">
        <v>181</v>
      </c>
      <c r="D62" t="s">
        <v>251</v>
      </c>
      <c r="E62" t="s">
        <v>252</v>
      </c>
      <c r="F62" s="5"/>
      <c r="G62" s="2" t="str">
        <f>$J62&amp;"年第"&amp;CHOOSE($K62,"一","二","三","四")&amp;"季度"</f>
        <v>2025年第二季度</v>
      </c>
      <c r="H62" s="2"/>
      <c r="I62" s="2" t="s">
        <v>254</v>
      </c>
      <c r="J62" t="str">
        <f>LEFT(I62,4)</f>
        <v>2025</v>
      </c>
      <c r="K62" t="str">
        <f>RIGHT(I62,1)</f>
        <v>2</v>
      </c>
      <c r="L62" t="str">
        <f t="shared" si="7"/>
        <v>D:\文档\_工作相关\KPMG\CROSS II\2025Q2</v>
      </c>
      <c r="M62" t="str">
        <f t="shared" si="13"/>
        <v>东吴人寿2025Q2偿付能力季度报告摘要.pdf</v>
      </c>
    </row>
    <row r="63" spans="1:13" x14ac:dyDescent="0.25">
      <c r="A63" t="s">
        <v>101</v>
      </c>
      <c r="B63" t="s">
        <v>210</v>
      </c>
      <c r="C63" t="s">
        <v>181</v>
      </c>
      <c r="D63" t="s">
        <v>56</v>
      </c>
      <c r="E63" t="s">
        <v>163</v>
      </c>
      <c r="F63" s="5" t="s">
        <v>178</v>
      </c>
      <c r="G63" s="2" t="str">
        <f>$J63&amp;"年第"&amp;$K63&amp;"季度"</f>
        <v>2025年第2季度</v>
      </c>
      <c r="H63" s="2"/>
      <c r="I63" s="2" t="s">
        <v>254</v>
      </c>
      <c r="J63" t="str">
        <f t="shared" si="8"/>
        <v>2025</v>
      </c>
      <c r="K63" t="str">
        <f t="shared" si="9"/>
        <v>2</v>
      </c>
      <c r="L63" t="str">
        <f t="shared" si="7"/>
        <v>D:\文档\_工作相关\KPMG\CROSS II\2025Q2</v>
      </c>
      <c r="M63" t="str">
        <f t="shared" si="13"/>
        <v>交银人寿2025Q2偿付能力季度报告摘要.pdf</v>
      </c>
    </row>
    <row r="64" spans="1:13" x14ac:dyDescent="0.25">
      <c r="A64" t="s">
        <v>101</v>
      </c>
      <c r="B64" t="s">
        <v>235</v>
      </c>
      <c r="C64" t="s">
        <v>181</v>
      </c>
      <c r="D64" t="s">
        <v>236</v>
      </c>
      <c r="E64" t="s">
        <v>163</v>
      </c>
      <c r="F64" s="5" t="s">
        <v>178</v>
      </c>
      <c r="G64" s="2" t="str">
        <f>$J64&amp;"年"&amp;$K64&amp;"季度"</f>
        <v>2025年2季度</v>
      </c>
      <c r="H64" s="2"/>
      <c r="I64" s="2" t="s">
        <v>254</v>
      </c>
      <c r="J64" t="str">
        <f t="shared" si="8"/>
        <v>2025</v>
      </c>
      <c r="K64" t="str">
        <f t="shared" si="9"/>
        <v>2</v>
      </c>
      <c r="L64" t="str">
        <f t="shared" si="7"/>
        <v>D:\文档\_工作相关\KPMG\CROSS II\2025Q2</v>
      </c>
      <c r="M64" t="str">
        <f t="shared" si="13"/>
        <v>农银人寿2025Q2偿付能力季度报告摘要.pdf</v>
      </c>
    </row>
    <row r="65" spans="1:13" ht="17.5" customHeight="1" x14ac:dyDescent="0.25">
      <c r="A65" t="s">
        <v>101</v>
      </c>
      <c r="B65" t="s">
        <v>237</v>
      </c>
      <c r="C65" t="s">
        <v>181</v>
      </c>
      <c r="D65" t="s">
        <v>175</v>
      </c>
      <c r="E65" t="s">
        <v>238</v>
      </c>
      <c r="F65" s="5" t="s">
        <v>200</v>
      </c>
      <c r="G65" s="2" t="str">
        <f>$J65&amp;"年第"&amp;$K65&amp;"季度"</f>
        <v>2025年第2季度</v>
      </c>
      <c r="H65" s="2"/>
      <c r="I65" s="2" t="s">
        <v>254</v>
      </c>
      <c r="J65" t="str">
        <f t="shared" ref="J65:J78" si="14">LEFT(I65,4)</f>
        <v>2025</v>
      </c>
      <c r="K65" t="str">
        <f t="shared" ref="K65:K78" si="15">RIGHT(I65,1)</f>
        <v>2</v>
      </c>
      <c r="L65" t="str">
        <f t="shared" si="7"/>
        <v>D:\文档\_工作相关\KPMG\CROSS II\2025Q2</v>
      </c>
      <c r="M65" t="str">
        <f t="shared" si="13"/>
        <v>招商仁和2025Q2偿付能力季度报告摘要.pdf</v>
      </c>
    </row>
    <row r="66" spans="1:13" x14ac:dyDescent="0.25">
      <c r="A66" t="s">
        <v>101</v>
      </c>
      <c r="B66" t="s">
        <v>239</v>
      </c>
      <c r="C66" t="s">
        <v>181</v>
      </c>
      <c r="D66" t="s">
        <v>240</v>
      </c>
      <c r="E66" t="s">
        <v>163</v>
      </c>
      <c r="F66" s="5" t="s">
        <v>200</v>
      </c>
      <c r="G66" s="2" t="str">
        <f>$J66&amp;"年第"&amp;$K66&amp;"季度"</f>
        <v>2025年第2季度</v>
      </c>
      <c r="H66" s="2"/>
      <c r="I66" s="2" t="s">
        <v>254</v>
      </c>
      <c r="J66" t="str">
        <f t="shared" si="14"/>
        <v>2025</v>
      </c>
      <c r="K66" t="str">
        <f t="shared" si="15"/>
        <v>2</v>
      </c>
      <c r="L66" t="str">
        <f t="shared" si="7"/>
        <v>D:\文档\_工作相关\KPMG\CROSS II\2025Q2</v>
      </c>
      <c r="M66" t="str">
        <f t="shared" si="13"/>
        <v>华汇人寿2025Q2偿付能力季度报告摘要.pdf</v>
      </c>
    </row>
    <row r="67" spans="1:13" x14ac:dyDescent="0.25">
      <c r="A67" t="s">
        <v>101</v>
      </c>
      <c r="B67" s="11" t="s">
        <v>215</v>
      </c>
      <c r="C67" s="11" t="s">
        <v>181</v>
      </c>
      <c r="D67" s="11" t="s">
        <v>65</v>
      </c>
      <c r="E67" s="11" t="s">
        <v>164</v>
      </c>
      <c r="F67" s="12" t="s">
        <v>231</v>
      </c>
      <c r="G67" s="2" t="str">
        <f>$J67&amp;"年第"&amp;$K67&amp;"季度"</f>
        <v>2025年第2季度</v>
      </c>
      <c r="H67" s="2"/>
      <c r="I67" s="2" t="s">
        <v>254</v>
      </c>
      <c r="J67" t="str">
        <f t="shared" si="14"/>
        <v>2025</v>
      </c>
      <c r="K67" t="str">
        <f t="shared" si="15"/>
        <v>2</v>
      </c>
      <c r="L67" t="str">
        <f t="shared" si="7"/>
        <v>D:\文档\_工作相关\KPMG\CROSS II\2025Q2</v>
      </c>
      <c r="M67" t="str">
        <f t="shared" si="13"/>
        <v>陆家嘴国泰2025Q2偿付能力季度报告摘要.pdf</v>
      </c>
    </row>
    <row r="68" spans="1:13" x14ac:dyDescent="0.25">
      <c r="A68" t="s">
        <v>101</v>
      </c>
      <c r="B68" s="11" t="s">
        <v>216</v>
      </c>
      <c r="C68" s="11" t="s">
        <v>181</v>
      </c>
      <c r="D68" s="11" t="s">
        <v>66</v>
      </c>
      <c r="E68" s="11" t="s">
        <v>164</v>
      </c>
      <c r="F68" s="12" t="s">
        <v>231</v>
      </c>
      <c r="G68" s="2" t="str">
        <f>$J68&amp;"年第"&amp;$K68&amp;"季度"</f>
        <v>2025年第2季度</v>
      </c>
      <c r="H68" s="2"/>
      <c r="I68" s="2" t="s">
        <v>254</v>
      </c>
      <c r="J68" t="str">
        <f t="shared" si="14"/>
        <v>2025</v>
      </c>
      <c r="K68" t="str">
        <f t="shared" si="15"/>
        <v>2</v>
      </c>
      <c r="L68" t="str">
        <f t="shared" si="7"/>
        <v>D:\文档\_工作相关\KPMG\CROSS II\2025Q2</v>
      </c>
      <c r="M68" t="str">
        <f t="shared" si="13"/>
        <v>恒安标准2025Q2偿付能力季度报告摘要.pdf</v>
      </c>
    </row>
    <row r="69" spans="1:13" x14ac:dyDescent="0.25">
      <c r="A69" t="s">
        <v>101</v>
      </c>
      <c r="B69" s="11" t="s">
        <v>88</v>
      </c>
      <c r="C69" s="11" t="s">
        <v>181</v>
      </c>
      <c r="D69" s="11" t="s">
        <v>89</v>
      </c>
      <c r="E69" s="11" t="s">
        <v>242</v>
      </c>
      <c r="F69" s="12" t="s">
        <v>233</v>
      </c>
      <c r="G69" s="2" t="str">
        <f>"摘要"&amp;$J69&amp;"年第"&amp;$K69&amp;"季度"</f>
        <v>摘要2025年第2季度</v>
      </c>
      <c r="H69" s="2"/>
      <c r="I69" s="2" t="s">
        <v>254</v>
      </c>
      <c r="J69" t="str">
        <f t="shared" si="14"/>
        <v>2025</v>
      </c>
      <c r="K69" t="str">
        <f t="shared" si="15"/>
        <v>2</v>
      </c>
      <c r="L69" t="str">
        <f t="shared" si="7"/>
        <v>D:\文档\_工作相关\KPMG\CROSS II\2025Q2</v>
      </c>
      <c r="M69" t="str">
        <f t="shared" si="13"/>
        <v>三峡人寿2025Q2偿付能力季度报告摘要.pdf</v>
      </c>
    </row>
    <row r="70" spans="1:13" x14ac:dyDescent="0.25">
      <c r="A70" t="s">
        <v>101</v>
      </c>
      <c r="B70" s="11" t="s">
        <v>217</v>
      </c>
      <c r="C70" s="11" t="s">
        <v>181</v>
      </c>
      <c r="D70" s="11" t="s">
        <v>46</v>
      </c>
      <c r="E70" s="11" t="s">
        <v>164</v>
      </c>
      <c r="F70" s="12" t="s">
        <v>234</v>
      </c>
      <c r="G70" s="2" t="str">
        <f>$J70&amp;"年第"&amp;$K70&amp;"季度"</f>
        <v>2025年第2季度</v>
      </c>
      <c r="H70" s="2"/>
      <c r="I70" s="2" t="s">
        <v>254</v>
      </c>
      <c r="J70" t="str">
        <f t="shared" si="14"/>
        <v>2025</v>
      </c>
      <c r="K70" t="str">
        <f t="shared" si="15"/>
        <v>2</v>
      </c>
      <c r="L70" t="str">
        <f t="shared" si="7"/>
        <v>D:\文档\_工作相关\KPMG\CROSS II\2025Q2</v>
      </c>
      <c r="M70" t="str">
        <f t="shared" si="13"/>
        <v>中信保诚2025Q2偿付能力季度报告摘要.pdf</v>
      </c>
    </row>
    <row r="71" spans="1:13" x14ac:dyDescent="0.25">
      <c r="A71" t="s">
        <v>101</v>
      </c>
      <c r="B71" s="11" t="s">
        <v>243</v>
      </c>
      <c r="C71" s="11" t="s">
        <v>181</v>
      </c>
      <c r="D71" s="11" t="s">
        <v>244</v>
      </c>
      <c r="E71" s="11" t="s">
        <v>164</v>
      </c>
      <c r="F71" s="12" t="s">
        <v>245</v>
      </c>
      <c r="G71" s="2" t="str">
        <f>$J71&amp;"年"&amp;CHOOSE($K71,"一","二","三","四")&amp;"季度"</f>
        <v>2025年二季度</v>
      </c>
      <c r="H71" s="2"/>
      <c r="I71" s="2" t="s">
        <v>254</v>
      </c>
      <c r="J71" t="str">
        <f t="shared" si="14"/>
        <v>2025</v>
      </c>
      <c r="K71" t="str">
        <f t="shared" si="15"/>
        <v>2</v>
      </c>
      <c r="L71" t="str">
        <f t="shared" si="7"/>
        <v>D:\文档\_工作相关\KPMG\CROSS II\2025Q2</v>
      </c>
      <c r="M71" t="str">
        <f t="shared" si="13"/>
        <v>利安人寿2025Q2偿付能力季度报告摘要.pdf</v>
      </c>
    </row>
    <row r="72" spans="1:13" x14ac:dyDescent="0.25">
      <c r="A72" t="s">
        <v>101</v>
      </c>
      <c r="B72" s="11" t="s">
        <v>131</v>
      </c>
      <c r="C72" s="11" t="s">
        <v>232</v>
      </c>
      <c r="D72" s="11" t="s">
        <v>79</v>
      </c>
      <c r="E72" s="11" t="s">
        <v>164</v>
      </c>
      <c r="F72" s="12" t="s">
        <v>246</v>
      </c>
      <c r="G72" s="2" t="str">
        <f>$J72&amp;"年第"&amp;CHOOSE($K72,"一","二","三","四")&amp;"季度"</f>
        <v>2025年第二季度</v>
      </c>
      <c r="H72" s="2"/>
      <c r="I72" s="2" t="s">
        <v>254</v>
      </c>
      <c r="J72" t="str">
        <f t="shared" si="14"/>
        <v>2025</v>
      </c>
      <c r="K72" t="str">
        <f t="shared" si="15"/>
        <v>2</v>
      </c>
      <c r="L72" t="str">
        <f t="shared" si="7"/>
        <v>D:\文档\_工作相关\KPMG\CROSS II\2025Q2</v>
      </c>
      <c r="M72" t="str">
        <f t="shared" si="13"/>
        <v>君龙人寿2025Q2偿付能力季度报告摘要.pdf</v>
      </c>
    </row>
    <row r="73" spans="1:13" x14ac:dyDescent="0.25">
      <c r="A73" t="s">
        <v>101</v>
      </c>
      <c r="B73" s="11" t="s">
        <v>218</v>
      </c>
      <c r="C73" s="11" t="s">
        <v>181</v>
      </c>
      <c r="D73" s="11" t="s">
        <v>43</v>
      </c>
      <c r="E73" s="11" t="s">
        <v>164</v>
      </c>
      <c r="F73" s="12" t="s">
        <v>167</v>
      </c>
      <c r="G73" s="2" t="str">
        <f>$J73&amp;"年"&amp;$K73&amp;"季度"</f>
        <v>2025年2季度</v>
      </c>
      <c r="H73" s="2"/>
      <c r="I73" s="2" t="s">
        <v>254</v>
      </c>
      <c r="J73" t="str">
        <f t="shared" si="14"/>
        <v>2025</v>
      </c>
      <c r="K73" t="str">
        <f t="shared" si="15"/>
        <v>2</v>
      </c>
      <c r="L73" t="str">
        <f t="shared" si="7"/>
        <v>D:\文档\_工作相关\KPMG\CROSS II\2025Q2</v>
      </c>
      <c r="M73" t="str">
        <f t="shared" si="13"/>
        <v>友邦人寿2025Q2偿付能力季度报告摘要.pdf</v>
      </c>
    </row>
    <row r="74" spans="1:13" x14ac:dyDescent="0.25">
      <c r="A74" t="s">
        <v>101</v>
      </c>
      <c r="B74" s="11" t="s">
        <v>241</v>
      </c>
      <c r="C74" s="11" t="s">
        <v>181</v>
      </c>
      <c r="D74" s="11" t="s">
        <v>135</v>
      </c>
      <c r="E74" s="11" t="s">
        <v>164</v>
      </c>
      <c r="F74" s="12" t="s">
        <v>249</v>
      </c>
      <c r="G74" s="2" t="str">
        <f>$J74&amp;"年第"&amp;$K74&amp;"季度"</f>
        <v>2025年第2季度</v>
      </c>
      <c r="H74" s="2"/>
      <c r="I74" s="2" t="s">
        <v>254</v>
      </c>
      <c r="J74" t="str">
        <f t="shared" si="14"/>
        <v>2025</v>
      </c>
      <c r="K74" t="str">
        <f t="shared" si="15"/>
        <v>2</v>
      </c>
      <c r="L74" t="str">
        <f t="shared" si="7"/>
        <v>D:\文档\_工作相关\KPMG\CROSS II\2025Q2</v>
      </c>
      <c r="M74" t="str">
        <f t="shared" si="13"/>
        <v>中韩人寿2025Q2偿付能力季度报告摘要.pdf</v>
      </c>
    </row>
    <row r="75" spans="1:13" x14ac:dyDescent="0.25">
      <c r="A75" t="s">
        <v>101</v>
      </c>
      <c r="B75" s="11" t="s">
        <v>247</v>
      </c>
      <c r="C75" s="11" t="s">
        <v>184</v>
      </c>
      <c r="D75" s="11" t="s">
        <v>78</v>
      </c>
      <c r="E75" s="11" t="s">
        <v>165</v>
      </c>
      <c r="F75" s="12" t="s">
        <v>248</v>
      </c>
      <c r="G75" s="2" t="str">
        <f>$J75&amp;"年第"&amp;$K75&amp;"季度"</f>
        <v>2025年第2季度</v>
      </c>
      <c r="H75" s="2"/>
      <c r="I75" s="2" t="s">
        <v>254</v>
      </c>
      <c r="J75" t="str">
        <f t="shared" si="14"/>
        <v>2025</v>
      </c>
      <c r="K75" t="str">
        <f t="shared" si="15"/>
        <v>2</v>
      </c>
      <c r="L75" t="str">
        <f>config!$L$2</f>
        <v>D:\文档\_工作相关\KPMG\CROSS II\2025Q2</v>
      </c>
      <c r="M75" t="str">
        <f t="shared" si="13"/>
        <v>大家养老2025Q2偿付能力季度报告摘要.pdf</v>
      </c>
    </row>
    <row r="76" spans="1:13" x14ac:dyDescent="0.25">
      <c r="A76" t="s">
        <v>101</v>
      </c>
      <c r="B76" s="11" t="s">
        <v>15</v>
      </c>
      <c r="C76" s="11" t="s">
        <v>181</v>
      </c>
      <c r="D76" s="11" t="s">
        <v>10</v>
      </c>
      <c r="E76" s="11" t="s">
        <v>165</v>
      </c>
      <c r="F76" s="12" t="s">
        <v>176</v>
      </c>
      <c r="G76" s="4"/>
      <c r="H76" s="4"/>
      <c r="I76" s="2" t="s">
        <v>254</v>
      </c>
      <c r="J76" t="str">
        <f t="shared" si="14"/>
        <v>2025</v>
      </c>
      <c r="K76" t="str">
        <f t="shared" si="15"/>
        <v>2</v>
      </c>
      <c r="L76" t="str">
        <f t="shared" si="7"/>
        <v>D:\文档\_工作相关\KPMG\CROSS II\2025Q2</v>
      </c>
      <c r="M76" t="str">
        <f t="shared" si="13"/>
        <v>太平人寿2025Q2偿付能力季度报告摘要.pdf</v>
      </c>
    </row>
    <row r="77" spans="1:13" x14ac:dyDescent="0.25">
      <c r="A77" t="s">
        <v>101</v>
      </c>
      <c r="B77" s="11" t="s">
        <v>190</v>
      </c>
      <c r="C77" s="11" t="s">
        <v>184</v>
      </c>
      <c r="D77" s="11" t="s">
        <v>68</v>
      </c>
      <c r="E77" s="11" t="s">
        <v>165</v>
      </c>
      <c r="F77" s="12" t="s">
        <v>176</v>
      </c>
      <c r="G77" s="6"/>
      <c r="H77" s="6"/>
      <c r="I77" s="2" t="s">
        <v>254</v>
      </c>
      <c r="J77" t="str">
        <f t="shared" si="14"/>
        <v>2025</v>
      </c>
      <c r="K77" t="str">
        <f t="shared" si="15"/>
        <v>2</v>
      </c>
      <c r="L77" t="str">
        <f>config!$L$2</f>
        <v>D:\文档\_工作相关\KPMG\CROSS II\2025Q2</v>
      </c>
      <c r="M77" t="str">
        <f t="shared" si="13"/>
        <v>太平养老2025Q2偿付能力季度报告摘要.pdf</v>
      </c>
    </row>
    <row r="78" spans="1:13" x14ac:dyDescent="0.25">
      <c r="A78" t="s">
        <v>101</v>
      </c>
      <c r="B78" s="9" t="s">
        <v>53</v>
      </c>
      <c r="C78" s="9" t="s">
        <v>181</v>
      </c>
      <c r="D78" s="9" t="s">
        <v>54</v>
      </c>
      <c r="E78" s="9" t="s">
        <v>166</v>
      </c>
      <c r="F78" s="10" t="s">
        <v>160</v>
      </c>
      <c r="G78" s="6" t="s">
        <v>105</v>
      </c>
      <c r="H78" s="6"/>
      <c r="I78" s="2" t="s">
        <v>254</v>
      </c>
      <c r="J78" t="str">
        <f t="shared" si="14"/>
        <v>2025</v>
      </c>
      <c r="K78" t="str">
        <f t="shared" si="15"/>
        <v>2</v>
      </c>
      <c r="L78" t="str">
        <f t="shared" si="7"/>
        <v>D:\文档\_工作相关\KPMG\CROSS II\2025Q2</v>
      </c>
      <c r="M78" t="str">
        <f t="shared" si="13"/>
        <v>合众人寿2025Q2偿付能力季度报告摘要.pdf</v>
      </c>
    </row>
    <row r="79" spans="1:13" x14ac:dyDescent="0.25">
      <c r="A79" t="s">
        <v>101</v>
      </c>
      <c r="B79" s="9" t="s">
        <v>71</v>
      </c>
      <c r="C79" s="9" t="s">
        <v>181</v>
      </c>
      <c r="D79" s="9" t="s">
        <v>119</v>
      </c>
      <c r="E79" s="9" t="s">
        <v>166</v>
      </c>
      <c r="F79" s="10" t="s">
        <v>146</v>
      </c>
      <c r="G79" s="6" t="s">
        <v>179</v>
      </c>
      <c r="H79" s="6"/>
      <c r="I79" s="2" t="s">
        <v>254</v>
      </c>
      <c r="J79" t="str">
        <f t="shared" ref="J79:J90" si="16">LEFT(I79,4)</f>
        <v>2025</v>
      </c>
      <c r="K79" t="str">
        <f t="shared" ref="K79:K90" si="17">RIGHT(I79,1)</f>
        <v>2</v>
      </c>
      <c r="L79" t="str">
        <f t="shared" si="7"/>
        <v>D:\文档\_工作相关\KPMG\CROSS II\2025Q2</v>
      </c>
      <c r="M79" t="str">
        <f t="shared" ref="M79:M90" si="18">B79&amp;I79&amp;"偿付能力季度报告摘要.pdf"</f>
        <v>百年人寿2025Q2偿付能力季度报告摘要.pdf</v>
      </c>
    </row>
    <row r="80" spans="1:13" x14ac:dyDescent="0.25">
      <c r="A80" t="s">
        <v>101</v>
      </c>
      <c r="B80" s="9" t="s">
        <v>127</v>
      </c>
      <c r="C80" s="9" t="s">
        <v>181</v>
      </c>
      <c r="D80" s="9" t="s">
        <v>75</v>
      </c>
      <c r="E80" s="9" t="s">
        <v>166</v>
      </c>
      <c r="F80" s="10" t="s">
        <v>147</v>
      </c>
      <c r="G80" s="6" t="s">
        <v>128</v>
      </c>
      <c r="H80" s="6"/>
      <c r="I80" s="2" t="s">
        <v>254</v>
      </c>
      <c r="J80" t="str">
        <f t="shared" si="16"/>
        <v>2025</v>
      </c>
      <c r="K80" t="str">
        <f t="shared" si="17"/>
        <v>2</v>
      </c>
      <c r="L80" t="str">
        <f t="shared" ref="L80:L90" si="19">$L$2</f>
        <v>D:\文档\_工作相关\KPMG\CROSS II\2025Q2</v>
      </c>
      <c r="M80" t="str">
        <f t="shared" si="18"/>
        <v>渤海人寿2025Q2偿付能力季度报告摘要.pdf</v>
      </c>
    </row>
    <row r="81" spans="1:13" x14ac:dyDescent="0.25">
      <c r="A81" t="s">
        <v>101</v>
      </c>
      <c r="B81" s="9" t="s">
        <v>143</v>
      </c>
      <c r="C81" s="9" t="s">
        <v>181</v>
      </c>
      <c r="D81" s="9" t="s">
        <v>90</v>
      </c>
      <c r="E81" s="9" t="s">
        <v>166</v>
      </c>
      <c r="F81" s="10" t="s">
        <v>100</v>
      </c>
      <c r="G81" s="6"/>
      <c r="H81" s="6"/>
      <c r="I81" s="2" t="s">
        <v>254</v>
      </c>
      <c r="J81" t="str">
        <f t="shared" si="16"/>
        <v>2025</v>
      </c>
      <c r="K81" t="str">
        <f t="shared" si="17"/>
        <v>2</v>
      </c>
      <c r="L81" t="str">
        <f t="shared" si="19"/>
        <v>D:\文档\_工作相关\KPMG\CROSS II\2025Q2</v>
      </c>
      <c r="M81" t="str">
        <f t="shared" si="18"/>
        <v>大家人寿2025Q2偿付能力季度报告摘要.pdf</v>
      </c>
    </row>
    <row r="82" spans="1:13" x14ac:dyDescent="0.25">
      <c r="A82" t="s">
        <v>101</v>
      </c>
      <c r="B82" s="9" t="s">
        <v>144</v>
      </c>
      <c r="C82" s="9" t="s">
        <v>181</v>
      </c>
      <c r="D82" s="9" t="s">
        <v>91</v>
      </c>
      <c r="E82" s="9" t="s">
        <v>166</v>
      </c>
      <c r="F82" s="10" t="s">
        <v>148</v>
      </c>
      <c r="G82" s="6" t="s">
        <v>180</v>
      </c>
      <c r="H82" s="6"/>
      <c r="I82" s="2" t="s">
        <v>254</v>
      </c>
      <c r="J82" t="str">
        <f t="shared" si="16"/>
        <v>2025</v>
      </c>
      <c r="K82" t="str">
        <f t="shared" si="17"/>
        <v>2</v>
      </c>
      <c r="L82" t="str">
        <f t="shared" si="19"/>
        <v>D:\文档\_工作相关\KPMG\CROSS II\2025Q2</v>
      </c>
      <c r="M82" t="str">
        <f t="shared" si="18"/>
        <v>富德生命2025Q2偿付能力季度报告摘要.pdf</v>
      </c>
    </row>
    <row r="83" spans="1:13" x14ac:dyDescent="0.25">
      <c r="A83" t="s">
        <v>101</v>
      </c>
      <c r="B83" s="9" t="s">
        <v>32</v>
      </c>
      <c r="C83" s="9" t="s">
        <v>181</v>
      </c>
      <c r="D83" s="9" t="s">
        <v>92</v>
      </c>
      <c r="E83" s="9" t="s">
        <v>166</v>
      </c>
      <c r="F83" s="10" t="s">
        <v>161</v>
      </c>
      <c r="G83" s="6"/>
      <c r="H83" s="6"/>
      <c r="I83" s="2" t="s">
        <v>254</v>
      </c>
      <c r="J83" t="str">
        <f t="shared" si="16"/>
        <v>2025</v>
      </c>
      <c r="K83" t="str">
        <f t="shared" si="17"/>
        <v>2</v>
      </c>
      <c r="L83" t="str">
        <f t="shared" si="19"/>
        <v>D:\文档\_工作相关\KPMG\CROSS II\2025Q2</v>
      </c>
      <c r="M83" t="str">
        <f t="shared" si="18"/>
        <v>华夏人寿2025Q2偿付能力季度报告摘要.pdf</v>
      </c>
    </row>
    <row r="84" spans="1:13" x14ac:dyDescent="0.25">
      <c r="A84" t="s">
        <v>101</v>
      </c>
      <c r="B84" s="9" t="s">
        <v>34</v>
      </c>
      <c r="C84" s="9" t="s">
        <v>181</v>
      </c>
      <c r="D84" s="9" t="s">
        <v>149</v>
      </c>
      <c r="E84" s="9" t="s">
        <v>166</v>
      </c>
      <c r="F84" s="10" t="s">
        <v>150</v>
      </c>
      <c r="G84" s="6"/>
      <c r="H84" s="6"/>
      <c r="I84" s="2" t="s">
        <v>254</v>
      </c>
      <c r="J84" t="str">
        <f t="shared" si="16"/>
        <v>2025</v>
      </c>
      <c r="K84" t="str">
        <f t="shared" si="17"/>
        <v>2</v>
      </c>
      <c r="L84" t="str">
        <f t="shared" si="19"/>
        <v>D:\文档\_工作相关\KPMG\CROSS II\2025Q2</v>
      </c>
      <c r="M84" t="str">
        <f t="shared" si="18"/>
        <v>恒大人寿2025Q2偿付能力季度报告摘要.pdf</v>
      </c>
    </row>
    <row r="85" spans="1:13" x14ac:dyDescent="0.25">
      <c r="A85" t="s">
        <v>101</v>
      </c>
      <c r="B85" s="9" t="s">
        <v>35</v>
      </c>
      <c r="C85" s="9" t="s">
        <v>181</v>
      </c>
      <c r="D85" s="9" t="s">
        <v>151</v>
      </c>
      <c r="E85" s="9" t="s">
        <v>166</v>
      </c>
      <c r="F85" s="10" t="s">
        <v>152</v>
      </c>
      <c r="G85" s="6"/>
      <c r="H85" s="6"/>
      <c r="I85" s="2" t="s">
        <v>254</v>
      </c>
      <c r="J85" t="str">
        <f t="shared" si="16"/>
        <v>2025</v>
      </c>
      <c r="K85" t="str">
        <f t="shared" si="17"/>
        <v>2</v>
      </c>
      <c r="L85" t="str">
        <f t="shared" si="19"/>
        <v>D:\文档\_工作相关\KPMG\CROSS II\2025Q2</v>
      </c>
      <c r="M85" t="str">
        <f t="shared" si="18"/>
        <v>君康人寿2025Q2偿付能力季度报告摘要.pdf</v>
      </c>
    </row>
    <row r="86" spans="1:13" x14ac:dyDescent="0.25">
      <c r="A86" t="s">
        <v>101</v>
      </c>
      <c r="B86" s="9" t="s">
        <v>37</v>
      </c>
      <c r="C86" s="9" t="s">
        <v>181</v>
      </c>
      <c r="D86" s="9" t="s">
        <v>153</v>
      </c>
      <c r="E86" s="9" t="s">
        <v>166</v>
      </c>
      <c r="F86" s="10" t="s">
        <v>159</v>
      </c>
      <c r="G86" s="6"/>
      <c r="H86" s="6"/>
      <c r="I86" s="2" t="s">
        <v>254</v>
      </c>
      <c r="J86" t="str">
        <f t="shared" si="16"/>
        <v>2025</v>
      </c>
      <c r="K86" t="str">
        <f t="shared" si="17"/>
        <v>2</v>
      </c>
      <c r="L86" t="str">
        <f t="shared" si="19"/>
        <v>D:\文档\_工作相关\KPMG\CROSS II\2025Q2</v>
      </c>
      <c r="M86" t="str">
        <f t="shared" si="18"/>
        <v>前海人寿2025Q2偿付能力季度报告摘要.pdf</v>
      </c>
    </row>
    <row r="87" spans="1:13" x14ac:dyDescent="0.25">
      <c r="A87" t="s">
        <v>101</v>
      </c>
      <c r="B87" s="9" t="s">
        <v>38</v>
      </c>
      <c r="C87" s="9" t="s">
        <v>181</v>
      </c>
      <c r="D87" s="9" t="s">
        <v>95</v>
      </c>
      <c r="E87" s="9" t="s">
        <v>166</v>
      </c>
      <c r="F87" s="10" t="s">
        <v>157</v>
      </c>
      <c r="G87" s="6"/>
      <c r="H87" s="6"/>
      <c r="I87" s="2" t="s">
        <v>254</v>
      </c>
      <c r="J87" t="str">
        <f t="shared" si="16"/>
        <v>2025</v>
      </c>
      <c r="K87" t="str">
        <f t="shared" si="17"/>
        <v>2</v>
      </c>
      <c r="L87" t="str">
        <f t="shared" si="19"/>
        <v>D:\文档\_工作相关\KPMG\CROSS II\2025Q2</v>
      </c>
      <c r="M87" t="str">
        <f t="shared" si="18"/>
        <v>上海人寿2025Q2偿付能力季度报告摘要.pdf</v>
      </c>
    </row>
    <row r="88" spans="1:13" x14ac:dyDescent="0.25">
      <c r="A88" t="s">
        <v>101</v>
      </c>
      <c r="B88" s="9" t="s">
        <v>39</v>
      </c>
      <c r="C88" s="9" t="s">
        <v>181</v>
      </c>
      <c r="D88" s="9" t="s">
        <v>96</v>
      </c>
      <c r="E88" s="9" t="s">
        <v>166</v>
      </c>
      <c r="F88" s="10" t="s">
        <v>154</v>
      </c>
      <c r="G88" s="6"/>
      <c r="H88" s="6"/>
      <c r="I88" s="2" t="s">
        <v>254</v>
      </c>
      <c r="J88" t="str">
        <f t="shared" si="16"/>
        <v>2025</v>
      </c>
      <c r="K88" t="str">
        <f t="shared" si="17"/>
        <v>2</v>
      </c>
      <c r="L88" t="str">
        <f t="shared" si="19"/>
        <v>D:\文档\_工作相关\KPMG\CROSS II\2025Q2</v>
      </c>
      <c r="M88" t="str">
        <f t="shared" si="18"/>
        <v>天安人寿2025Q2偿付能力季度报告摘要.pdf</v>
      </c>
    </row>
    <row r="89" spans="1:13" x14ac:dyDescent="0.25">
      <c r="A89" t="s">
        <v>101</v>
      </c>
      <c r="B89" s="9" t="s">
        <v>40</v>
      </c>
      <c r="C89" s="9" t="s">
        <v>181</v>
      </c>
      <c r="D89" s="9" t="s">
        <v>97</v>
      </c>
      <c r="E89" s="9" t="s">
        <v>166</v>
      </c>
      <c r="F89" s="10" t="s">
        <v>158</v>
      </c>
      <c r="G89" s="6"/>
      <c r="H89" s="6"/>
      <c r="I89" s="2" t="s">
        <v>254</v>
      </c>
      <c r="J89" t="str">
        <f t="shared" si="16"/>
        <v>2025</v>
      </c>
      <c r="K89" t="str">
        <f t="shared" si="17"/>
        <v>2</v>
      </c>
      <c r="L89" t="str">
        <f t="shared" si="19"/>
        <v>D:\文档\_工作相关\KPMG\CROSS II\2025Q2</v>
      </c>
      <c r="M89" t="str">
        <f t="shared" si="18"/>
        <v>中融人寿2025Q2偿付能力季度报告摘要.pdf</v>
      </c>
    </row>
    <row r="90" spans="1:13" x14ac:dyDescent="0.25">
      <c r="A90" t="s">
        <v>101</v>
      </c>
      <c r="B90" s="9" t="s">
        <v>41</v>
      </c>
      <c r="C90" s="9" t="s">
        <v>181</v>
      </c>
      <c r="D90" s="9" t="s">
        <v>98</v>
      </c>
      <c r="E90" s="9" t="s">
        <v>166</v>
      </c>
      <c r="F90" s="10" t="s">
        <v>148</v>
      </c>
      <c r="G90" s="6"/>
      <c r="H90" s="6"/>
      <c r="I90" s="2" t="s">
        <v>254</v>
      </c>
      <c r="J90" t="str">
        <f t="shared" si="16"/>
        <v>2025</v>
      </c>
      <c r="K90" t="str">
        <f t="shared" si="17"/>
        <v>2</v>
      </c>
      <c r="L90" t="str">
        <f t="shared" si="19"/>
        <v>D:\文档\_工作相关\KPMG\CROSS II\2025Q2</v>
      </c>
      <c r="M90" t="str">
        <f t="shared" si="18"/>
        <v>珠江人寿2025Q2偿付能力季度报告摘要.pdf</v>
      </c>
    </row>
    <row r="91" spans="1:13" x14ac:dyDescent="0.25">
      <c r="A91" t="s">
        <v>101</v>
      </c>
      <c r="B91" s="9" t="s">
        <v>99</v>
      </c>
      <c r="C91" s="9" t="s">
        <v>184</v>
      </c>
      <c r="D91" s="9" t="s">
        <v>191</v>
      </c>
      <c r="E91" s="9" t="s">
        <v>166</v>
      </c>
      <c r="F91" s="10" t="s">
        <v>187</v>
      </c>
      <c r="G91" s="6"/>
      <c r="H91" s="6"/>
      <c r="I91" s="2" t="s">
        <v>254</v>
      </c>
      <c r="J91" t="str">
        <f>LEFT(I91,4)</f>
        <v>2025</v>
      </c>
      <c r="K91" t="str">
        <f>RIGHT(I91,1)</f>
        <v>2</v>
      </c>
      <c r="L91" t="str">
        <f>config!$L$2</f>
        <v>D:\文档\_工作相关\KPMG\CROSS II\2025Q2</v>
      </c>
      <c r="M91" t="str">
        <f>B91&amp;I91&amp;"偿付能力季度报告摘要.pdf"</f>
        <v>长江养老2025Q2偿付能力季度报告摘要.pdf</v>
      </c>
    </row>
    <row r="92" spans="1:13" x14ac:dyDescent="0.25">
      <c r="A92" t="s">
        <v>101</v>
      </c>
      <c r="B92" s="9" t="s">
        <v>33</v>
      </c>
      <c r="C92" s="9" t="s">
        <v>183</v>
      </c>
      <c r="D92" s="9" t="s">
        <v>192</v>
      </c>
      <c r="E92" s="9" t="s">
        <v>166</v>
      </c>
      <c r="F92" s="10" t="s">
        <v>188</v>
      </c>
      <c r="G92" s="6"/>
      <c r="H92" s="6"/>
      <c r="I92" s="2" t="s">
        <v>254</v>
      </c>
      <c r="J92" t="str">
        <f>LEFT(I92,4)</f>
        <v>2025</v>
      </c>
      <c r="K92" t="str">
        <f>RIGHT(I92,1)</f>
        <v>2</v>
      </c>
      <c r="L92" t="str">
        <f>config!$L$2</f>
        <v>D:\文档\_工作相关\KPMG\CROSS II\2025Q2</v>
      </c>
      <c r="M92" t="str">
        <f>B92&amp;I92&amp;"偿付能力季度报告摘要.pdf"</f>
        <v>和谐健康2025Q2偿付能力季度报告摘要.pdf</v>
      </c>
    </row>
    <row r="93" spans="1:13" x14ac:dyDescent="0.25">
      <c r="A93" t="s">
        <v>101</v>
      </c>
      <c r="B93" s="9" t="s">
        <v>36</v>
      </c>
      <c r="C93" s="9" t="s">
        <v>183</v>
      </c>
      <c r="D93" s="9" t="s">
        <v>94</v>
      </c>
      <c r="E93" s="9" t="s">
        <v>166</v>
      </c>
      <c r="F93" s="10" t="s">
        <v>189</v>
      </c>
      <c r="G93" s="6"/>
      <c r="H93" s="6"/>
      <c r="I93" s="2" t="s">
        <v>254</v>
      </c>
      <c r="J93" t="str">
        <f>LEFT(I93,4)</f>
        <v>2025</v>
      </c>
      <c r="K93" t="str">
        <f>RIGHT(I93,1)</f>
        <v>2</v>
      </c>
      <c r="L93" t="str">
        <f>config!$L$2</f>
        <v>D:\文档\_工作相关\KPMG\CROSS II\2025Q2</v>
      </c>
      <c r="M93" t="str">
        <f>B93&amp;I93&amp;"偿付能力季度报告摘要.pdf"</f>
        <v>昆仑健康2025Q2偿付能力季度报告摘要.pdf</v>
      </c>
    </row>
  </sheetData>
  <autoFilter ref="A1:N93" xr:uid="{00000000-0009-0000-0000-000001000000}"/>
  <phoneticPr fontId="2" type="noConversion"/>
  <conditionalFormatting sqref="F73">
    <cfRule type="cellIs" dxfId="4" priority="37" operator="equal">
      <formula>0</formula>
    </cfRule>
  </conditionalFormatting>
  <conditionalFormatting sqref="F77:F93">
    <cfRule type="cellIs" dxfId="3" priority="7" operator="equal">
      <formula>0</formula>
    </cfRule>
  </conditionalFormatting>
  <conditionalFormatting sqref="F76:H76">
    <cfRule type="cellIs" dxfId="2" priority="40" operator="equal">
      <formula>0</formula>
    </cfRule>
  </conditionalFormatting>
  <conditionalFormatting sqref="G1:H75">
    <cfRule type="cellIs" dxfId="1" priority="1" operator="equal">
      <formula>0</formula>
    </cfRule>
  </conditionalFormatting>
  <conditionalFormatting sqref="G77:H1048576">
    <cfRule type="cellIs" dxfId="0" priority="23" operator="equal">
      <formula>0</formula>
    </cfRule>
  </conditionalFormatting>
  <hyperlinks>
    <hyperlink ref="D49" r:id="rId1" xr:uid="{00000000-0004-0000-0100-000000000000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peiqing miao</cp:lastModifiedBy>
  <dcterms:created xsi:type="dcterms:W3CDTF">2024-11-27T14:02:54Z</dcterms:created>
  <dcterms:modified xsi:type="dcterms:W3CDTF">2026-09-21T09:41:05Z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79D456F2-006B-4434-AE41-858677964C32</vt:lpwstr>
  </property>
</Properties>
</file>